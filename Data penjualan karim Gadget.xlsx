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oding\Laporan Keuangan\"/>
    </mc:Choice>
  </mc:AlternateContent>
  <xr:revisionPtr revIDLastSave="0" documentId="13_ncr:1_{084FBAC2-9021-4907-A987-B034066C3116}" xr6:coauthVersionLast="47" xr6:coauthVersionMax="47" xr10:uidLastSave="{00000000-0000-0000-0000-000000000000}"/>
  <bookViews>
    <workbookView xWindow="-120" yWindow="-120" windowWidth="29040" windowHeight="15720" activeTab="15" xr2:uid="{00000000-000D-0000-FFFF-FFFF00000000}"/>
  </bookViews>
  <sheets>
    <sheet name="Real Time" sheetId="1" r:id="rId1"/>
    <sheet name="2025" sheetId="2" r:id="rId2"/>
    <sheet name="agus-sep" sheetId="3" r:id="rId3"/>
    <sheet name="Okt" sheetId="4" r:id="rId4"/>
    <sheet name="Nov" sheetId="5" r:id="rId5"/>
    <sheet name="Des" sheetId="6" r:id="rId6"/>
    <sheet name="2026" sheetId="7" r:id="rId7"/>
    <sheet name="Jan" sheetId="8" r:id="rId8"/>
    <sheet name="Feb" sheetId="9" r:id="rId9"/>
    <sheet name="Mar" sheetId="10" r:id="rId10"/>
    <sheet name="Apr" sheetId="11" r:id="rId11"/>
    <sheet name="Mei" sheetId="12" r:id="rId12"/>
    <sheet name="Jun" sheetId="13" r:id="rId13"/>
    <sheet name="Jul" sheetId="14" r:id="rId14"/>
    <sheet name="Agu" sheetId="15" r:id="rId15"/>
    <sheet name="Sep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1" l="1"/>
  <c r="G58" i="1"/>
  <c r="G3" i="15"/>
  <c r="G2" i="15"/>
  <c r="E6" i="14"/>
  <c r="G5" i="14"/>
  <c r="G4" i="14"/>
  <c r="G3" i="14"/>
  <c r="G2" i="14"/>
  <c r="E9" i="13"/>
  <c r="G8" i="13"/>
  <c r="G7" i="13"/>
  <c r="G6" i="13"/>
  <c r="G5" i="13"/>
  <c r="G4" i="13"/>
  <c r="G3" i="13"/>
  <c r="G2" i="13"/>
  <c r="G3" i="12"/>
  <c r="G4" i="12" s="1"/>
  <c r="G2" i="12"/>
  <c r="G9" i="11"/>
  <c r="G8" i="11"/>
  <c r="G7" i="11"/>
  <c r="G6" i="11"/>
  <c r="G5" i="11"/>
  <c r="G4" i="11"/>
  <c r="G3" i="11"/>
  <c r="G2" i="11"/>
  <c r="G10" i="11" s="1"/>
  <c r="G3" i="10"/>
  <c r="G2" i="10"/>
  <c r="G4" i="10" s="1"/>
  <c r="G7" i="9"/>
  <c r="G6" i="9"/>
  <c r="G5" i="9"/>
  <c r="G4" i="9"/>
  <c r="G3" i="9"/>
  <c r="G2" i="9"/>
  <c r="G8" i="9" s="1"/>
  <c r="G8" i="8"/>
  <c r="G7" i="8"/>
  <c r="G6" i="8"/>
  <c r="G5" i="8"/>
  <c r="G4" i="8"/>
  <c r="G3" i="8"/>
  <c r="G2" i="8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36" i="7" s="1"/>
  <c r="G8" i="6"/>
  <c r="G7" i="6"/>
  <c r="G6" i="6"/>
  <c r="G5" i="6"/>
  <c r="G4" i="6"/>
  <c r="G3" i="6"/>
  <c r="G2" i="6"/>
  <c r="G9" i="6" s="1"/>
  <c r="G5" i="5"/>
  <c r="G4" i="5"/>
  <c r="G3" i="5"/>
  <c r="G2" i="5"/>
  <c r="G6" i="5" s="1"/>
  <c r="G9" i="4"/>
  <c r="G8" i="4"/>
  <c r="G7" i="4"/>
  <c r="G6" i="4"/>
  <c r="G5" i="4"/>
  <c r="G4" i="4"/>
  <c r="G3" i="4"/>
  <c r="G2" i="4"/>
  <c r="G10" i="4" s="1"/>
  <c r="G5" i="3"/>
  <c r="G6" i="3" s="1"/>
  <c r="G4" i="3"/>
  <c r="G3" i="3"/>
  <c r="G2" i="3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25" i="2" s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<sst xmlns="http://schemas.openxmlformats.org/spreadsheetml/2006/main" count="332" uniqueCount="42">
  <si>
    <t>Nota</t>
  </si>
  <si>
    <t>Tanggal Masuk</t>
  </si>
  <si>
    <t>Tanggal Keluar</t>
  </si>
  <si>
    <t>Tipe/Model</t>
  </si>
  <si>
    <t>Harga Beli</t>
  </si>
  <si>
    <t>Harga Jual</t>
  </si>
  <si>
    <t>Profit</t>
  </si>
  <si>
    <t>Keterangan</t>
  </si>
  <si>
    <t>iPhone 11 White 128 GB inter</t>
  </si>
  <si>
    <t>iPhone XR Black 64 GB inter</t>
  </si>
  <si>
    <t>iPhone 11 Black 128 GB inter</t>
  </si>
  <si>
    <t>iPhone 13 Pro Max Graphite 128 GB iBox</t>
  </si>
  <si>
    <t>iPhone 11 Purple 128 GB inter</t>
  </si>
  <si>
    <t>iPhone XR White 256 GB inter</t>
  </si>
  <si>
    <t>iPhone 11 Black 256 GB inter</t>
  </si>
  <si>
    <t>iPhone 11 Purple 64 GB inter</t>
  </si>
  <si>
    <t>iPhone XR White 64 GB iBox</t>
  </si>
  <si>
    <t>Kena Scam</t>
  </si>
  <si>
    <t>iPhone 13 Midnight 128 GB iBox</t>
  </si>
  <si>
    <t>iPhone 11 Black 64 GB iBox</t>
  </si>
  <si>
    <t>Refund</t>
  </si>
  <si>
    <t>iPhone 15 Blue 128 GB iBox</t>
  </si>
  <si>
    <t>iPhone 13 Starlight 128 GB iBox</t>
  </si>
  <si>
    <t>iPhone 13 Pink 128 GB iBox</t>
  </si>
  <si>
    <t>iPhone 16 White 128 GB iBox</t>
  </si>
  <si>
    <t>iPhone 13 Pink 128 GB inter</t>
  </si>
  <si>
    <t>iPhone 12 White 128 GB Beacukai</t>
  </si>
  <si>
    <t>iPhone 14 Blue 128 GB iBox</t>
  </si>
  <si>
    <t>iPhone 11 Tosca 64 GB inter</t>
  </si>
  <si>
    <t>iPhone 15 Tosca 128 GB Ibox</t>
  </si>
  <si>
    <t>iPhone 15 Blue 128 GB Beacukai</t>
  </si>
  <si>
    <t>iPhone 15 Pro Natural Titanium 128 GB iBox</t>
  </si>
  <si>
    <t>iPhone 15 Pro White Titanium 256 GB iBox</t>
  </si>
  <si>
    <t>iPhone 16 Pro Max White Titanium 256 GB iBox</t>
  </si>
  <si>
    <t>Tukar Tambah</t>
  </si>
  <si>
    <t>iPhone 15 Pro Blue Titanium 128 GB Ibox</t>
  </si>
  <si>
    <t>iPhone 14 Pro Max Deep Purple 128 GB iBox</t>
  </si>
  <si>
    <t>Laptop DAC</t>
  </si>
  <si>
    <t>iPhone 15 Pro Natural Titanium 256 GB iBox</t>
  </si>
  <si>
    <t>iPhone 15 Pink 128 GB iBox</t>
  </si>
  <si>
    <t>iPhone 15 pro Natural Titanium 256 GB iBox</t>
  </si>
  <si>
    <t>Jumlah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</si>
</sst>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[$-13809]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44" fontId="1" fillId="0" borderId="0"/>
  </cellStyleXfs>
  <cellXfs count="76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3" borderId="0" xfId="0" applyFill="1"/>
    <xf numFmtId="14" fontId="0" fillId="3" borderId="0" xfId="0" applyNumberFormat="1" applyFill="1"/>
    <xf numFmtId="14" fontId="0" fillId="0" borderId="0" xfId="0" applyNumberFormat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0" fillId="3" borderId="3" xfId="0" applyFill="1" applyBorder="1"/>
    <xf numFmtId="14" fontId="0" fillId="3" borderId="4" xfId="0" applyNumberFormat="1" applyFill="1" applyBorder="1"/>
    <xf numFmtId="0" fontId="0" fillId="3" borderId="4" xfId="0" applyFill="1" applyBorder="1"/>
    <xf numFmtId="14" fontId="0" fillId="3" borderId="5" xfId="0" applyNumberFormat="1" applyFill="1" applyBorder="1"/>
    <xf numFmtId="0" fontId="0" fillId="0" borderId="9" xfId="0" applyBorder="1"/>
    <xf numFmtId="0" fontId="0" fillId="0" borderId="10" xfId="0" applyBorder="1"/>
    <xf numFmtId="0" fontId="0" fillId="3" borderId="9" xfId="0" applyFill="1" applyBorder="1"/>
    <xf numFmtId="0" fontId="0" fillId="3" borderId="5" xfId="0" applyFill="1" applyBorder="1"/>
    <xf numFmtId="0" fontId="0" fillId="2" borderId="9" xfId="0" applyFill="1" applyBorder="1"/>
    <xf numFmtId="14" fontId="0" fillId="3" borderId="1" xfId="0" applyNumberFormat="1" applyFill="1" applyBorder="1"/>
    <xf numFmtId="0" fontId="0" fillId="3" borderId="10" xfId="0" applyFill="1" applyBorder="1"/>
    <xf numFmtId="0" fontId="0" fillId="2" borderId="10" xfId="0" applyFill="1" applyBorder="1"/>
    <xf numFmtId="14" fontId="0" fillId="0" borderId="9" xfId="0" applyNumberFormat="1" applyBorder="1"/>
    <xf numFmtId="0" fontId="0" fillId="0" borderId="7" xfId="0" applyBorder="1"/>
    <xf numFmtId="14" fontId="0" fillId="0" borderId="0" xfId="0" applyNumberForma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0" borderId="9" xfId="1" applyFont="1" applyBorder="1"/>
    <xf numFmtId="44" fontId="0" fillId="0" borderId="6" xfId="1" applyFont="1" applyBorder="1"/>
    <xf numFmtId="44" fontId="0" fillId="0" borderId="7" xfId="1" applyFont="1" applyBorder="1"/>
    <xf numFmtId="44" fontId="0" fillId="0" borderId="10" xfId="1" applyFont="1" applyBorder="1"/>
    <xf numFmtId="44" fontId="0" fillId="0" borderId="1" xfId="1" applyFont="1" applyBorder="1"/>
    <xf numFmtId="44" fontId="0" fillId="0" borderId="8" xfId="1" applyFont="1" applyBorder="1"/>
    <xf numFmtId="44" fontId="0" fillId="3" borderId="9" xfId="1" applyFont="1" applyFill="1" applyBorder="1"/>
    <xf numFmtId="44" fontId="0" fillId="3" borderId="0" xfId="1" applyFont="1" applyFill="1"/>
    <xf numFmtId="44" fontId="0" fillId="3" borderId="7" xfId="0" applyNumberFormat="1" applyFill="1" applyBorder="1"/>
    <xf numFmtId="44" fontId="0" fillId="0" borderId="5" xfId="1" applyFont="1" applyBorder="1"/>
    <xf numFmtId="44" fontId="0" fillId="0" borderId="4" xfId="1" applyFont="1" applyBorder="1"/>
    <xf numFmtId="44" fontId="0" fillId="0" borderId="2" xfId="1" applyFont="1" applyBorder="1"/>
    <xf numFmtId="44" fontId="0" fillId="3" borderId="5" xfId="1" applyFont="1" applyFill="1" applyBorder="1"/>
    <xf numFmtId="44" fontId="0" fillId="3" borderId="4" xfId="1" applyFont="1" applyFill="1" applyBorder="1"/>
    <xf numFmtId="44" fontId="0" fillId="3" borderId="2" xfId="0" applyNumberFormat="1" applyFill="1" applyBorder="1"/>
    <xf numFmtId="44" fontId="0" fillId="0" borderId="7" xfId="0" applyNumberFormat="1" applyBorder="1"/>
    <xf numFmtId="44" fontId="0" fillId="0" borderId="8" xfId="0" applyNumberFormat="1" applyBorder="1"/>
    <xf numFmtId="44" fontId="0" fillId="0" borderId="9" xfId="0" applyNumberFormat="1" applyBorder="1"/>
    <xf numFmtId="44" fontId="0" fillId="3" borderId="5" xfId="0" applyNumberFormat="1" applyFill="1" applyBorder="1"/>
    <xf numFmtId="44" fontId="0" fillId="0" borderId="10" xfId="0" applyNumberFormat="1" applyBorder="1"/>
    <xf numFmtId="44" fontId="0" fillId="3" borderId="9" xfId="0" applyNumberFormat="1" applyFill="1" applyBorder="1"/>
    <xf numFmtId="44" fontId="0" fillId="0" borderId="5" xfId="0" applyNumberFormat="1" applyBorder="1"/>
    <xf numFmtId="44" fontId="2" fillId="0" borderId="9" xfId="0" applyNumberFormat="1" applyFont="1" applyBorder="1"/>
    <xf numFmtId="44" fontId="2" fillId="0" borderId="0" xfId="0" applyNumberFormat="1" applyFont="1"/>
    <xf numFmtId="44" fontId="0" fillId="3" borderId="10" xfId="1" applyFont="1" applyFill="1" applyBorder="1"/>
    <xf numFmtId="44" fontId="0" fillId="3" borderId="1" xfId="1" applyFont="1" applyFill="1" applyBorder="1"/>
    <xf numFmtId="44" fontId="0" fillId="3" borderId="8" xfId="0" applyNumberFormat="1" applyFill="1" applyBorder="1"/>
    <xf numFmtId="44" fontId="0" fillId="3" borderId="2" xfId="1" applyFont="1" applyFill="1" applyBorder="1"/>
    <xf numFmtId="14" fontId="0" fillId="0" borderId="0" xfId="0" applyNumberFormat="1" applyAlignment="1">
      <alignment horizontal="center"/>
    </xf>
    <xf numFmtId="44" fontId="1" fillId="0" borderId="0" xfId="0" applyNumberFormat="1" applyFont="1"/>
    <xf numFmtId="44" fontId="2" fillId="0" borderId="0" xfId="1" applyFont="1"/>
    <xf numFmtId="44" fontId="1" fillId="0" borderId="0" xfId="1" applyFont="1"/>
    <xf numFmtId="14" fontId="1" fillId="0" borderId="0" xfId="0" applyNumberFormat="1" applyFont="1" applyAlignment="1">
      <alignment horizontal="center"/>
    </xf>
    <xf numFmtId="44" fontId="1" fillId="0" borderId="0" xfId="1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4" fontId="1" fillId="0" borderId="0" xfId="1" applyFill="1"/>
    <xf numFmtId="44" fontId="0" fillId="0" borderId="9" xfId="0" applyNumberFormat="1" applyFont="1" applyBorder="1"/>
    <xf numFmtId="14" fontId="0" fillId="0" borderId="0" xfId="0" applyNumberForma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opLeftCell="A41" workbookViewId="0">
      <selection activeCell="A61" sqref="A61:E61"/>
    </sheetView>
  </sheetViews>
  <sheetFormatPr defaultRowHeight="15" x14ac:dyDescent="0.25"/>
  <cols>
    <col min="1" max="1" width="5.28515625" style="31" bestFit="1" customWidth="1"/>
    <col min="2" max="3" width="14" style="31" bestFit="1" customWidth="1"/>
    <col min="4" max="4" width="43.140625" style="31" bestFit="1" customWidth="1"/>
    <col min="5" max="7" width="16.5703125" style="31" bestFit="1" customWidth="1"/>
    <col min="8" max="8" width="13.425781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1</v>
      </c>
      <c r="B2" s="2">
        <v>45892</v>
      </c>
      <c r="C2" s="1">
        <v>45897</v>
      </c>
      <c r="D2" t="s">
        <v>8</v>
      </c>
      <c r="E2" s="32">
        <v>3350000</v>
      </c>
      <c r="F2" s="32">
        <v>3900000</v>
      </c>
      <c r="G2" s="33">
        <f t="shared" ref="G2:G33" si="0">SUM(F2-E2)</f>
        <v>550000</v>
      </c>
    </row>
    <row r="3" spans="1:8" x14ac:dyDescent="0.25">
      <c r="A3">
        <v>2</v>
      </c>
      <c r="B3" s="1">
        <v>45892</v>
      </c>
      <c r="C3" s="1">
        <v>45902</v>
      </c>
      <c r="D3" t="s">
        <v>9</v>
      </c>
      <c r="E3" s="32">
        <v>2000000</v>
      </c>
      <c r="F3" s="32">
        <v>2230000</v>
      </c>
      <c r="G3" s="33">
        <f t="shared" si="0"/>
        <v>230000</v>
      </c>
    </row>
    <row r="4" spans="1:8" x14ac:dyDescent="0.25">
      <c r="A4">
        <v>3</v>
      </c>
      <c r="B4" s="1">
        <v>45892</v>
      </c>
      <c r="C4" s="1">
        <v>45906</v>
      </c>
      <c r="D4" t="s">
        <v>10</v>
      </c>
      <c r="E4" s="32">
        <v>3450000</v>
      </c>
      <c r="F4" s="32">
        <v>3500000</v>
      </c>
      <c r="G4" s="33">
        <f t="shared" si="0"/>
        <v>50000</v>
      </c>
    </row>
    <row r="5" spans="1:8" x14ac:dyDescent="0.25">
      <c r="A5">
        <v>4</v>
      </c>
      <c r="B5" s="1">
        <v>45908</v>
      </c>
      <c r="C5" s="1">
        <v>45926</v>
      </c>
      <c r="D5" t="s">
        <v>11</v>
      </c>
      <c r="E5" s="32">
        <v>9000000</v>
      </c>
      <c r="F5" s="32">
        <v>9100000</v>
      </c>
      <c r="G5" s="33">
        <f t="shared" si="0"/>
        <v>100000</v>
      </c>
    </row>
    <row r="6" spans="1:8" x14ac:dyDescent="0.25">
      <c r="A6">
        <v>5</v>
      </c>
      <c r="B6" s="1">
        <v>45931</v>
      </c>
      <c r="C6" s="1">
        <v>45942</v>
      </c>
      <c r="D6" t="s">
        <v>12</v>
      </c>
      <c r="E6" s="32">
        <v>2650000</v>
      </c>
      <c r="F6" s="32">
        <v>3200000</v>
      </c>
      <c r="G6" s="33">
        <f t="shared" si="0"/>
        <v>550000</v>
      </c>
    </row>
    <row r="7" spans="1:8" x14ac:dyDescent="0.25">
      <c r="A7">
        <v>6</v>
      </c>
      <c r="B7" s="1">
        <v>45931</v>
      </c>
      <c r="C7" s="1">
        <v>45942</v>
      </c>
      <c r="D7" t="s">
        <v>8</v>
      </c>
      <c r="E7" s="32">
        <v>2650000</v>
      </c>
      <c r="F7" s="32">
        <v>3000000</v>
      </c>
      <c r="G7" s="33">
        <f t="shared" si="0"/>
        <v>350000</v>
      </c>
    </row>
    <row r="8" spans="1:8" x14ac:dyDescent="0.25">
      <c r="A8">
        <v>7</v>
      </c>
      <c r="B8" s="1">
        <v>45931</v>
      </c>
      <c r="C8" s="1">
        <v>45943</v>
      </c>
      <c r="D8" t="s">
        <v>10</v>
      </c>
      <c r="E8" s="34">
        <v>2850000</v>
      </c>
      <c r="F8" s="32">
        <v>3100000</v>
      </c>
      <c r="G8" s="35">
        <f t="shared" si="0"/>
        <v>250000</v>
      </c>
      <c r="H8" s="17"/>
    </row>
    <row r="9" spans="1:8" x14ac:dyDescent="0.25">
      <c r="A9">
        <v>8</v>
      </c>
      <c r="B9" s="1">
        <v>45931</v>
      </c>
      <c r="C9" s="1">
        <v>45960</v>
      </c>
      <c r="D9" s="17" t="s">
        <v>12</v>
      </c>
      <c r="E9" s="34">
        <v>2200000</v>
      </c>
      <c r="F9" s="32">
        <v>3100000</v>
      </c>
      <c r="G9" s="36">
        <f t="shared" si="0"/>
        <v>900000</v>
      </c>
      <c r="H9" s="17"/>
    </row>
    <row r="10" spans="1:8" x14ac:dyDescent="0.25">
      <c r="A10">
        <v>9</v>
      </c>
      <c r="B10" s="1">
        <v>45946</v>
      </c>
      <c r="C10" s="1">
        <v>45963</v>
      </c>
      <c r="D10" s="17" t="s">
        <v>13</v>
      </c>
      <c r="E10" s="34">
        <v>2500000</v>
      </c>
      <c r="F10" s="32">
        <v>2750000</v>
      </c>
      <c r="G10" s="36">
        <f t="shared" si="0"/>
        <v>250000</v>
      </c>
      <c r="H10" s="17"/>
    </row>
    <row r="11" spans="1:8" x14ac:dyDescent="0.25">
      <c r="A11">
        <v>10</v>
      </c>
      <c r="B11" s="1">
        <v>45946</v>
      </c>
      <c r="C11" s="1">
        <v>45970</v>
      </c>
      <c r="D11" s="17" t="s">
        <v>14</v>
      </c>
      <c r="E11" s="34">
        <v>3150000</v>
      </c>
      <c r="F11" s="32">
        <v>3481505</v>
      </c>
      <c r="G11" s="36">
        <f t="shared" si="0"/>
        <v>331505</v>
      </c>
      <c r="H11" s="17"/>
    </row>
    <row r="12" spans="1:8" x14ac:dyDescent="0.25">
      <c r="A12" s="7">
        <v>11</v>
      </c>
      <c r="B12" s="8">
        <v>45946</v>
      </c>
      <c r="C12" s="8">
        <v>45971</v>
      </c>
      <c r="D12" s="18" t="s">
        <v>15</v>
      </c>
      <c r="E12" s="37">
        <v>2750000</v>
      </c>
      <c r="F12" s="38">
        <v>2900000</v>
      </c>
      <c r="G12" s="39">
        <f t="shared" si="0"/>
        <v>150000</v>
      </c>
      <c r="H12" s="17"/>
    </row>
    <row r="13" spans="1:8" x14ac:dyDescent="0.25">
      <c r="A13" s="4">
        <v>12</v>
      </c>
      <c r="B13" s="5">
        <v>45946</v>
      </c>
      <c r="C13" s="5">
        <v>45996</v>
      </c>
      <c r="D13" s="19" t="s">
        <v>16</v>
      </c>
      <c r="E13" s="40">
        <v>2850000</v>
      </c>
      <c r="F13" s="41">
        <v>2850000</v>
      </c>
      <c r="G13" s="42">
        <f t="shared" si="0"/>
        <v>0</v>
      </c>
      <c r="H13" s="21" t="s">
        <v>17</v>
      </c>
    </row>
    <row r="14" spans="1:8" x14ac:dyDescent="0.25">
      <c r="A14" s="9">
        <v>13</v>
      </c>
      <c r="B14" s="10">
        <v>45975</v>
      </c>
      <c r="C14" s="10">
        <v>45982</v>
      </c>
      <c r="D14" s="12" t="s">
        <v>18</v>
      </c>
      <c r="E14" s="43">
        <v>6850000</v>
      </c>
      <c r="F14" s="44">
        <v>7250000</v>
      </c>
      <c r="G14" s="45">
        <f t="shared" si="0"/>
        <v>400000</v>
      </c>
      <c r="H14" s="17"/>
    </row>
    <row r="15" spans="1:8" x14ac:dyDescent="0.25">
      <c r="A15">
        <v>14</v>
      </c>
      <c r="B15" s="1">
        <v>45975</v>
      </c>
      <c r="C15" s="1">
        <v>45992</v>
      </c>
      <c r="D15" s="17" t="s">
        <v>18</v>
      </c>
      <c r="E15" s="34">
        <v>6850000</v>
      </c>
      <c r="F15" s="32">
        <v>7200000</v>
      </c>
      <c r="G15" s="36">
        <f t="shared" si="0"/>
        <v>350000</v>
      </c>
      <c r="H15" s="17"/>
    </row>
    <row r="16" spans="1:8" x14ac:dyDescent="0.25">
      <c r="A16" s="13">
        <v>15</v>
      </c>
      <c r="B16" s="14">
        <v>45982</v>
      </c>
      <c r="C16" s="16">
        <v>45987</v>
      </c>
      <c r="D16" s="20" t="s">
        <v>19</v>
      </c>
      <c r="E16" s="46">
        <v>3700000</v>
      </c>
      <c r="F16" s="47">
        <v>3700000</v>
      </c>
      <c r="G16" s="48">
        <f t="shared" si="0"/>
        <v>0</v>
      </c>
      <c r="H16" s="21" t="s">
        <v>20</v>
      </c>
    </row>
    <row r="17" spans="1:8" x14ac:dyDescent="0.25">
      <c r="A17">
        <v>16</v>
      </c>
      <c r="B17" s="1">
        <v>45987</v>
      </c>
      <c r="C17" s="1">
        <v>45993</v>
      </c>
      <c r="D17" s="17" t="s">
        <v>21</v>
      </c>
      <c r="E17" s="34">
        <v>8350000</v>
      </c>
      <c r="F17" s="32">
        <v>9100000</v>
      </c>
      <c r="G17" s="49">
        <f t="shared" si="0"/>
        <v>750000</v>
      </c>
      <c r="H17" s="17"/>
    </row>
    <row r="18" spans="1:8" x14ac:dyDescent="0.25">
      <c r="A18">
        <v>17</v>
      </c>
      <c r="B18" s="1">
        <v>45993</v>
      </c>
      <c r="C18" s="1">
        <v>45997</v>
      </c>
      <c r="D18" s="17" t="s">
        <v>18</v>
      </c>
      <c r="E18" s="34">
        <v>6650000</v>
      </c>
      <c r="F18" s="32">
        <v>7100000</v>
      </c>
      <c r="G18" s="49">
        <f t="shared" si="0"/>
        <v>450000</v>
      </c>
      <c r="H18" s="17"/>
    </row>
    <row r="19" spans="1:8" x14ac:dyDescent="0.25">
      <c r="A19">
        <v>18</v>
      </c>
      <c r="B19" s="3">
        <v>45996</v>
      </c>
      <c r="C19" s="1">
        <v>46005</v>
      </c>
      <c r="D19" s="17" t="s">
        <v>22</v>
      </c>
      <c r="E19" s="34">
        <v>6850000</v>
      </c>
      <c r="F19" s="32">
        <v>7200000</v>
      </c>
      <c r="G19" s="49">
        <f t="shared" si="0"/>
        <v>350000</v>
      </c>
      <c r="H19" s="17"/>
    </row>
    <row r="20" spans="1:8" x14ac:dyDescent="0.25">
      <c r="A20">
        <v>19</v>
      </c>
      <c r="B20" s="1">
        <v>46001</v>
      </c>
      <c r="C20" s="1">
        <v>46008</v>
      </c>
      <c r="D20" s="17" t="s">
        <v>18</v>
      </c>
      <c r="E20" s="34">
        <v>6700000</v>
      </c>
      <c r="F20" s="32">
        <v>7100000</v>
      </c>
      <c r="G20" s="49">
        <f t="shared" si="0"/>
        <v>400000</v>
      </c>
      <c r="H20" s="17"/>
    </row>
    <row r="21" spans="1:8" x14ac:dyDescent="0.25">
      <c r="A21">
        <v>20</v>
      </c>
      <c r="B21" s="1">
        <v>46006</v>
      </c>
      <c r="C21" s="1">
        <v>46017</v>
      </c>
      <c r="D21" s="17" t="s">
        <v>23</v>
      </c>
      <c r="E21" s="34">
        <v>6650000</v>
      </c>
      <c r="F21" s="32">
        <v>7100000</v>
      </c>
      <c r="G21" s="49">
        <f t="shared" si="0"/>
        <v>450000</v>
      </c>
      <c r="H21" s="17"/>
    </row>
    <row r="22" spans="1:8" x14ac:dyDescent="0.25">
      <c r="A22">
        <v>21</v>
      </c>
      <c r="B22" s="1">
        <v>46010</v>
      </c>
      <c r="C22" s="1">
        <v>46025</v>
      </c>
      <c r="D22" t="s">
        <v>24</v>
      </c>
      <c r="E22" s="34">
        <v>12225000</v>
      </c>
      <c r="F22" s="32">
        <v>12550000</v>
      </c>
      <c r="G22" s="49">
        <f t="shared" si="0"/>
        <v>325000</v>
      </c>
      <c r="H22" s="17"/>
    </row>
    <row r="23" spans="1:8" x14ac:dyDescent="0.25">
      <c r="A23">
        <v>22</v>
      </c>
      <c r="B23" s="1">
        <v>46018</v>
      </c>
      <c r="C23" s="1">
        <v>46026</v>
      </c>
      <c r="D23" t="s">
        <v>18</v>
      </c>
      <c r="E23" s="34">
        <v>6650000</v>
      </c>
      <c r="F23" s="32">
        <v>7000000</v>
      </c>
      <c r="G23" s="49">
        <f t="shared" si="0"/>
        <v>350000</v>
      </c>
      <c r="H23" s="17"/>
    </row>
    <row r="24" spans="1:8" x14ac:dyDescent="0.25">
      <c r="A24">
        <v>23</v>
      </c>
      <c r="B24" s="1">
        <v>46018</v>
      </c>
      <c r="C24" s="1">
        <v>46023</v>
      </c>
      <c r="D24" t="s">
        <v>22</v>
      </c>
      <c r="E24" s="34">
        <v>6650000</v>
      </c>
      <c r="F24" s="32">
        <v>7150000</v>
      </c>
      <c r="G24" s="50">
        <f t="shared" si="0"/>
        <v>500000</v>
      </c>
      <c r="H24" s="17"/>
    </row>
    <row r="25" spans="1:8" x14ac:dyDescent="0.25">
      <c r="A25">
        <v>24</v>
      </c>
      <c r="B25" s="1">
        <v>46035</v>
      </c>
      <c r="C25" s="1">
        <v>46035</v>
      </c>
      <c r="D25" t="s">
        <v>22</v>
      </c>
      <c r="E25" s="32">
        <v>7100000</v>
      </c>
      <c r="F25" s="32">
        <v>7200000</v>
      </c>
      <c r="G25" s="51">
        <f t="shared" si="0"/>
        <v>100000</v>
      </c>
      <c r="H25" s="17"/>
    </row>
    <row r="26" spans="1:8" x14ac:dyDescent="0.25">
      <c r="A26">
        <v>25</v>
      </c>
      <c r="B26" s="1">
        <v>46037</v>
      </c>
      <c r="C26" s="1">
        <v>46072</v>
      </c>
      <c r="D26" t="s">
        <v>18</v>
      </c>
      <c r="E26" s="32">
        <v>6650000</v>
      </c>
      <c r="F26" s="32">
        <v>6670000</v>
      </c>
      <c r="G26" s="51">
        <f t="shared" si="0"/>
        <v>20000</v>
      </c>
      <c r="H26" s="17"/>
    </row>
    <row r="27" spans="1:8" x14ac:dyDescent="0.25">
      <c r="A27" s="13">
        <v>26</v>
      </c>
      <c r="B27" s="14">
        <v>46038</v>
      </c>
      <c r="C27" s="14">
        <v>46062</v>
      </c>
      <c r="D27" s="15" t="s">
        <v>25</v>
      </c>
      <c r="E27" s="47">
        <v>4800000</v>
      </c>
      <c r="F27" s="47">
        <v>5075000</v>
      </c>
      <c r="G27" s="52">
        <f t="shared" si="0"/>
        <v>275000</v>
      </c>
      <c r="H27" s="20"/>
    </row>
    <row r="28" spans="1:8" x14ac:dyDescent="0.25">
      <c r="A28">
        <v>27</v>
      </c>
      <c r="B28" s="1">
        <v>46038</v>
      </c>
      <c r="C28" s="1">
        <v>46047</v>
      </c>
      <c r="D28" t="s">
        <v>26</v>
      </c>
      <c r="E28" s="32">
        <v>4650000</v>
      </c>
      <c r="F28" s="32">
        <v>5300000</v>
      </c>
      <c r="G28" s="51">
        <f t="shared" si="0"/>
        <v>650000</v>
      </c>
      <c r="H28" s="17"/>
    </row>
    <row r="29" spans="1:8" x14ac:dyDescent="0.25">
      <c r="A29">
        <v>28</v>
      </c>
      <c r="B29" s="6">
        <v>46047</v>
      </c>
      <c r="C29" s="1">
        <v>46057</v>
      </c>
      <c r="D29" t="s">
        <v>22</v>
      </c>
      <c r="E29" s="32">
        <v>6700000</v>
      </c>
      <c r="F29" s="32">
        <v>7100000</v>
      </c>
      <c r="G29" s="51">
        <f t="shared" si="0"/>
        <v>400000</v>
      </c>
      <c r="H29" s="17"/>
    </row>
    <row r="30" spans="1:8" x14ac:dyDescent="0.25">
      <c r="A30">
        <v>29</v>
      </c>
      <c r="B30" s="6">
        <v>46047</v>
      </c>
      <c r="C30" s="1">
        <v>46067</v>
      </c>
      <c r="D30" t="s">
        <v>22</v>
      </c>
      <c r="E30" s="32">
        <v>6750000</v>
      </c>
      <c r="F30" s="32">
        <v>7035000</v>
      </c>
      <c r="G30" s="51">
        <f t="shared" si="0"/>
        <v>285000</v>
      </c>
      <c r="H30" s="17"/>
    </row>
    <row r="31" spans="1:8" x14ac:dyDescent="0.25">
      <c r="A31">
        <v>30</v>
      </c>
      <c r="B31" s="1">
        <v>46058</v>
      </c>
      <c r="C31" s="1">
        <v>46076</v>
      </c>
      <c r="D31" t="s">
        <v>22</v>
      </c>
      <c r="E31" s="32">
        <v>6700000</v>
      </c>
      <c r="F31" s="32">
        <v>6900000</v>
      </c>
      <c r="G31" s="51">
        <f t="shared" si="0"/>
        <v>200000</v>
      </c>
      <c r="H31" s="17"/>
    </row>
    <row r="32" spans="1:8" x14ac:dyDescent="0.25">
      <c r="A32">
        <v>31</v>
      </c>
      <c r="B32" s="1">
        <v>46068</v>
      </c>
      <c r="C32" s="1">
        <v>46079</v>
      </c>
      <c r="D32" t="s">
        <v>27</v>
      </c>
      <c r="E32" s="32">
        <v>7200000</v>
      </c>
      <c r="F32" s="32">
        <v>7586875</v>
      </c>
      <c r="G32" s="51">
        <f t="shared" si="0"/>
        <v>386875</v>
      </c>
      <c r="H32" s="17"/>
    </row>
    <row r="33" spans="1:8" x14ac:dyDescent="0.25">
      <c r="A33">
        <v>32</v>
      </c>
      <c r="B33" s="1">
        <v>46073</v>
      </c>
      <c r="C33" s="1">
        <v>46099</v>
      </c>
      <c r="D33" t="s">
        <v>22</v>
      </c>
      <c r="E33" s="32">
        <v>6500000</v>
      </c>
      <c r="F33" s="32">
        <v>6800000</v>
      </c>
      <c r="G33" s="51">
        <f t="shared" si="0"/>
        <v>300000</v>
      </c>
      <c r="H33" s="17"/>
    </row>
    <row r="34" spans="1:8" x14ac:dyDescent="0.25">
      <c r="A34" s="7">
        <v>33</v>
      </c>
      <c r="B34" s="8">
        <v>46076</v>
      </c>
      <c r="C34" s="8">
        <v>46080</v>
      </c>
      <c r="D34" s="7" t="s">
        <v>27</v>
      </c>
      <c r="E34" s="38">
        <v>7200000</v>
      </c>
      <c r="F34" s="38">
        <v>7700000</v>
      </c>
      <c r="G34" s="53">
        <f t="shared" ref="G34:G58" si="1">SUM(F34-E34)</f>
        <v>500000</v>
      </c>
      <c r="H34" s="17"/>
    </row>
    <row r="35" spans="1:8" x14ac:dyDescent="0.25">
      <c r="A35" s="4">
        <v>34</v>
      </c>
      <c r="B35" s="5">
        <v>46078</v>
      </c>
      <c r="C35" s="5">
        <v>46082</v>
      </c>
      <c r="D35" s="4" t="s">
        <v>28</v>
      </c>
      <c r="E35" s="41">
        <v>3000000</v>
      </c>
      <c r="F35" s="41">
        <v>3000000</v>
      </c>
      <c r="G35" s="54">
        <f t="shared" si="1"/>
        <v>0</v>
      </c>
      <c r="H35" s="21" t="s">
        <v>20</v>
      </c>
    </row>
    <row r="36" spans="1:8" x14ac:dyDescent="0.25">
      <c r="A36" s="9">
        <v>35</v>
      </c>
      <c r="B36" s="10">
        <v>46081</v>
      </c>
      <c r="C36" s="10">
        <v>46106</v>
      </c>
      <c r="D36" s="11" t="s">
        <v>29</v>
      </c>
      <c r="E36" s="44">
        <v>9000000</v>
      </c>
      <c r="F36" s="44">
        <v>9550000</v>
      </c>
      <c r="G36" s="55">
        <f t="shared" si="1"/>
        <v>550000</v>
      </c>
      <c r="H36" s="17"/>
    </row>
    <row r="37" spans="1:8" x14ac:dyDescent="0.25">
      <c r="A37">
        <v>36</v>
      </c>
      <c r="B37" s="1">
        <v>46086</v>
      </c>
      <c r="C37" s="1">
        <v>46090</v>
      </c>
      <c r="D37" t="s">
        <v>27</v>
      </c>
      <c r="E37" s="32">
        <v>7350000</v>
      </c>
      <c r="F37" s="32">
        <v>7850000</v>
      </c>
      <c r="G37" s="51">
        <f t="shared" si="1"/>
        <v>500000</v>
      </c>
      <c r="H37" s="17"/>
    </row>
    <row r="38" spans="1:8" x14ac:dyDescent="0.25">
      <c r="A38">
        <v>37</v>
      </c>
      <c r="B38" s="1">
        <v>46091</v>
      </c>
      <c r="C38" s="1">
        <v>46096</v>
      </c>
      <c r="D38" t="s">
        <v>27</v>
      </c>
      <c r="E38" s="32">
        <v>7300000</v>
      </c>
      <c r="F38" s="32">
        <v>7800000</v>
      </c>
      <c r="G38" s="51">
        <f t="shared" si="1"/>
        <v>500000</v>
      </c>
      <c r="H38" s="17"/>
    </row>
    <row r="39" spans="1:8" x14ac:dyDescent="0.25">
      <c r="A39">
        <v>38</v>
      </c>
      <c r="B39" s="1">
        <v>46113</v>
      </c>
      <c r="C39" s="1">
        <v>46136</v>
      </c>
      <c r="D39" t="s">
        <v>30</v>
      </c>
      <c r="E39" s="32">
        <v>8400000</v>
      </c>
      <c r="F39" s="32">
        <v>8700000</v>
      </c>
      <c r="G39" s="51">
        <f t="shared" si="1"/>
        <v>300000</v>
      </c>
      <c r="H39" s="17"/>
    </row>
    <row r="40" spans="1:8" x14ac:dyDescent="0.25">
      <c r="A40">
        <v>39</v>
      </c>
      <c r="B40" s="1">
        <v>46114</v>
      </c>
      <c r="C40" s="1">
        <v>46124</v>
      </c>
      <c r="D40" t="s">
        <v>27</v>
      </c>
      <c r="E40" s="32">
        <v>7550000</v>
      </c>
      <c r="F40" s="32">
        <v>7900000</v>
      </c>
      <c r="G40" s="51">
        <f t="shared" si="1"/>
        <v>350000</v>
      </c>
      <c r="H40" s="17"/>
    </row>
    <row r="41" spans="1:8" x14ac:dyDescent="0.25">
      <c r="A41">
        <v>40</v>
      </c>
      <c r="B41" s="1">
        <v>46114</v>
      </c>
      <c r="C41" s="1">
        <v>46124</v>
      </c>
      <c r="D41" t="s">
        <v>31</v>
      </c>
      <c r="E41" s="32">
        <v>12100000</v>
      </c>
      <c r="F41" s="32">
        <v>12700000</v>
      </c>
      <c r="G41" s="51">
        <f t="shared" si="1"/>
        <v>600000</v>
      </c>
      <c r="H41" s="17"/>
    </row>
    <row r="42" spans="1:8" x14ac:dyDescent="0.25">
      <c r="A42">
        <v>41</v>
      </c>
      <c r="B42" s="1">
        <v>46124</v>
      </c>
      <c r="C42" s="1">
        <v>46125</v>
      </c>
      <c r="D42" t="s">
        <v>27</v>
      </c>
      <c r="E42" s="32">
        <v>7500000</v>
      </c>
      <c r="F42" s="32">
        <v>7900000</v>
      </c>
      <c r="G42" s="51">
        <f t="shared" si="1"/>
        <v>400000</v>
      </c>
      <c r="H42" s="17"/>
    </row>
    <row r="43" spans="1:8" x14ac:dyDescent="0.25">
      <c r="A43">
        <v>42</v>
      </c>
      <c r="B43" s="1">
        <v>46129</v>
      </c>
      <c r="C43" s="1">
        <v>46136</v>
      </c>
      <c r="D43" t="s">
        <v>32</v>
      </c>
      <c r="E43" s="32">
        <v>14150000</v>
      </c>
      <c r="F43" s="32">
        <v>14900000</v>
      </c>
      <c r="G43" s="51">
        <f t="shared" si="1"/>
        <v>750000</v>
      </c>
      <c r="H43" s="17"/>
    </row>
    <row r="44" spans="1:8" x14ac:dyDescent="0.25">
      <c r="A44">
        <v>43</v>
      </c>
      <c r="B44" s="1">
        <v>46130</v>
      </c>
      <c r="C44" s="1">
        <v>46139</v>
      </c>
      <c r="D44" t="s">
        <v>27</v>
      </c>
      <c r="E44" s="32">
        <v>7500000</v>
      </c>
      <c r="F44" s="32">
        <v>7925000</v>
      </c>
      <c r="G44" s="51">
        <f t="shared" si="1"/>
        <v>425000</v>
      </c>
      <c r="H44" s="17"/>
    </row>
    <row r="45" spans="1:8" x14ac:dyDescent="0.25">
      <c r="A45" s="13">
        <v>44</v>
      </c>
      <c r="B45" s="14">
        <v>46140</v>
      </c>
      <c r="C45" s="14">
        <v>46173</v>
      </c>
      <c r="D45" s="15" t="s">
        <v>33</v>
      </c>
      <c r="E45" s="47">
        <v>17500000</v>
      </c>
      <c r="F45" s="47">
        <v>17500000</v>
      </c>
      <c r="G45" s="52">
        <f t="shared" si="1"/>
        <v>0</v>
      </c>
      <c r="H45" s="21" t="s">
        <v>34</v>
      </c>
    </row>
    <row r="46" spans="1:8" x14ac:dyDescent="0.25">
      <c r="A46">
        <v>45</v>
      </c>
      <c r="B46" s="1">
        <v>46141</v>
      </c>
      <c r="C46" s="1">
        <v>46158</v>
      </c>
      <c r="D46" t="s">
        <v>31</v>
      </c>
      <c r="E46" s="32">
        <v>13200000</v>
      </c>
      <c r="F46" s="32">
        <v>13900000</v>
      </c>
      <c r="G46" s="51">
        <f t="shared" si="1"/>
        <v>700000</v>
      </c>
      <c r="H46" s="17"/>
    </row>
    <row r="47" spans="1:8" x14ac:dyDescent="0.25">
      <c r="A47">
        <v>46</v>
      </c>
      <c r="B47" s="1">
        <v>46165</v>
      </c>
      <c r="C47" s="1">
        <v>46173</v>
      </c>
      <c r="D47" t="s">
        <v>35</v>
      </c>
      <c r="E47" s="32">
        <v>12800000</v>
      </c>
      <c r="F47" s="32">
        <v>13500000</v>
      </c>
      <c r="G47" s="51">
        <f t="shared" si="1"/>
        <v>700000</v>
      </c>
      <c r="H47" s="17"/>
    </row>
    <row r="48" spans="1:8" x14ac:dyDescent="0.25">
      <c r="A48">
        <v>47</v>
      </c>
      <c r="B48" s="1">
        <v>46173</v>
      </c>
      <c r="C48" s="1">
        <v>46181</v>
      </c>
      <c r="D48" t="s">
        <v>36</v>
      </c>
      <c r="E48" s="32">
        <v>11500000</v>
      </c>
      <c r="F48" s="32">
        <v>11900000</v>
      </c>
      <c r="G48" s="51">
        <f t="shared" si="1"/>
        <v>400000</v>
      </c>
      <c r="H48" s="17"/>
    </row>
    <row r="49" spans="1:8" x14ac:dyDescent="0.25">
      <c r="A49">
        <v>48</v>
      </c>
      <c r="B49" s="1">
        <v>46178</v>
      </c>
      <c r="C49" s="1">
        <v>46191</v>
      </c>
      <c r="D49" t="s">
        <v>31</v>
      </c>
      <c r="E49" s="32">
        <v>12850000</v>
      </c>
      <c r="F49" s="32">
        <v>13800000</v>
      </c>
      <c r="G49" s="51">
        <f t="shared" si="1"/>
        <v>950000</v>
      </c>
      <c r="H49" s="17"/>
    </row>
    <row r="50" spans="1:8" x14ac:dyDescent="0.25">
      <c r="A50" s="7">
        <v>49</v>
      </c>
      <c r="B50" s="8">
        <v>46181</v>
      </c>
      <c r="C50" s="8">
        <v>46184</v>
      </c>
      <c r="D50" s="7" t="s">
        <v>18</v>
      </c>
      <c r="E50" s="38">
        <v>6500000</v>
      </c>
      <c r="F50" s="38">
        <v>7350000</v>
      </c>
      <c r="G50" s="53">
        <f t="shared" si="1"/>
        <v>850000</v>
      </c>
      <c r="H50" s="17"/>
    </row>
    <row r="51" spans="1:8" x14ac:dyDescent="0.25">
      <c r="A51" s="4">
        <v>50</v>
      </c>
      <c r="B51" s="5">
        <v>46185</v>
      </c>
      <c r="C51" s="5">
        <v>46192</v>
      </c>
      <c r="D51" s="4" t="s">
        <v>37</v>
      </c>
      <c r="E51" s="41">
        <v>3300000</v>
      </c>
      <c r="F51" s="41">
        <v>3300000</v>
      </c>
      <c r="G51" s="54">
        <f t="shared" si="1"/>
        <v>0</v>
      </c>
      <c r="H51" s="21" t="s">
        <v>20</v>
      </c>
    </row>
    <row r="52" spans="1:8" x14ac:dyDescent="0.25">
      <c r="A52" s="9">
        <v>51</v>
      </c>
      <c r="B52" s="10">
        <v>46187</v>
      </c>
      <c r="C52" s="10">
        <v>46190</v>
      </c>
      <c r="D52" s="11" t="s">
        <v>38</v>
      </c>
      <c r="E52" s="44">
        <v>13650000</v>
      </c>
      <c r="F52" s="44">
        <v>14300000</v>
      </c>
      <c r="G52" s="55">
        <f t="shared" si="1"/>
        <v>650000</v>
      </c>
      <c r="H52" s="17"/>
    </row>
    <row r="53" spans="1:8" x14ac:dyDescent="0.25">
      <c r="A53">
        <v>52</v>
      </c>
      <c r="B53" s="1">
        <v>46191</v>
      </c>
      <c r="C53" s="1">
        <v>46203</v>
      </c>
      <c r="D53" t="s">
        <v>35</v>
      </c>
      <c r="E53" s="32">
        <v>12500000</v>
      </c>
      <c r="F53" s="32">
        <v>13400000</v>
      </c>
      <c r="G53" s="51">
        <f t="shared" si="1"/>
        <v>900000</v>
      </c>
      <c r="H53" s="17"/>
    </row>
    <row r="54" spans="1:8" x14ac:dyDescent="0.25">
      <c r="A54">
        <v>53</v>
      </c>
      <c r="B54" s="1">
        <v>46193</v>
      </c>
      <c r="C54" s="1">
        <v>46203</v>
      </c>
      <c r="D54" t="s">
        <v>31</v>
      </c>
      <c r="E54" s="32">
        <v>12800000</v>
      </c>
      <c r="F54" s="32">
        <v>13900000</v>
      </c>
      <c r="G54" s="51">
        <f t="shared" si="1"/>
        <v>1100000</v>
      </c>
      <c r="H54" s="17"/>
    </row>
    <row r="55" spans="1:8" x14ac:dyDescent="0.25">
      <c r="A55">
        <v>54</v>
      </c>
      <c r="B55" s="1">
        <v>46216</v>
      </c>
      <c r="C55" s="1">
        <v>46230</v>
      </c>
      <c r="D55" t="s">
        <v>18</v>
      </c>
      <c r="E55" s="67">
        <v>6800000</v>
      </c>
      <c r="F55" s="67">
        <v>7800000</v>
      </c>
      <c r="G55" s="67">
        <f t="shared" si="1"/>
        <v>1000000</v>
      </c>
    </row>
    <row r="56" spans="1:8" x14ac:dyDescent="0.25">
      <c r="A56">
        <v>55</v>
      </c>
      <c r="B56" s="1">
        <v>46223</v>
      </c>
      <c r="C56" s="1">
        <v>46249</v>
      </c>
      <c r="D56" t="s">
        <v>39</v>
      </c>
      <c r="E56" s="67">
        <v>10000000</v>
      </c>
      <c r="F56" s="67">
        <v>10000000</v>
      </c>
      <c r="G56" s="67">
        <f t="shared" si="1"/>
        <v>0</v>
      </c>
    </row>
    <row r="57" spans="1:8" x14ac:dyDescent="0.25">
      <c r="A57">
        <v>56</v>
      </c>
      <c r="B57" s="1">
        <v>46226</v>
      </c>
      <c r="C57" s="1">
        <v>46241</v>
      </c>
      <c r="D57" t="s">
        <v>40</v>
      </c>
      <c r="E57" s="67">
        <v>14600000</v>
      </c>
      <c r="F57" s="67">
        <v>15400000</v>
      </c>
      <c r="G57" s="67">
        <f t="shared" si="1"/>
        <v>800000</v>
      </c>
    </row>
    <row r="58" spans="1:8" x14ac:dyDescent="0.25">
      <c r="A58">
        <v>57</v>
      </c>
      <c r="B58" s="75">
        <v>46238</v>
      </c>
      <c r="C58" s="29">
        <v>44078</v>
      </c>
      <c r="D58" t="s">
        <v>31</v>
      </c>
      <c r="E58" s="67">
        <v>13400000</v>
      </c>
      <c r="F58" s="67">
        <v>13900000</v>
      </c>
      <c r="G58" s="67">
        <f t="shared" si="1"/>
        <v>500000</v>
      </c>
    </row>
    <row r="59" spans="1:8" x14ac:dyDescent="0.25">
      <c r="A59" s="69">
        <v>58</v>
      </c>
      <c r="B59" s="75">
        <v>46260</v>
      </c>
      <c r="C59" s="62">
        <v>46269</v>
      </c>
      <c r="D59" s="69" t="s">
        <v>18</v>
      </c>
      <c r="E59" s="67">
        <v>7397500</v>
      </c>
      <c r="F59" s="67">
        <v>7800000</v>
      </c>
      <c r="G59" s="74">
        <f>SUM(F59-E59)</f>
        <v>402500</v>
      </c>
      <c r="H59" s="17"/>
    </row>
    <row r="60" spans="1:8" x14ac:dyDescent="0.25">
      <c r="A60" s="69">
        <v>59</v>
      </c>
      <c r="B60" s="75">
        <v>46260</v>
      </c>
      <c r="C60" s="69"/>
      <c r="D60" s="69" t="s">
        <v>38</v>
      </c>
      <c r="E60" s="67">
        <v>14600000</v>
      </c>
      <c r="G60" s="17"/>
      <c r="H60" s="17"/>
    </row>
    <row r="61" spans="1:8" x14ac:dyDescent="0.25">
      <c r="A61" s="31">
        <v>60</v>
      </c>
      <c r="B61" s="1">
        <v>46273</v>
      </c>
      <c r="D61" s="31" t="s">
        <v>31</v>
      </c>
      <c r="E61" s="73">
        <v>12900000</v>
      </c>
      <c r="G61" s="17"/>
      <c r="H61" s="17"/>
    </row>
    <row r="62" spans="1:8" x14ac:dyDescent="0.25">
      <c r="G62" s="17"/>
      <c r="H62" s="17"/>
    </row>
    <row r="63" spans="1:8" x14ac:dyDescent="0.25">
      <c r="G63" s="17"/>
      <c r="H63" s="17"/>
    </row>
    <row r="64" spans="1:8" x14ac:dyDescent="0.25">
      <c r="G64" s="17"/>
      <c r="H64" s="17"/>
    </row>
    <row r="65" spans="7:8" x14ac:dyDescent="0.25">
      <c r="G65" s="17"/>
      <c r="H65" s="17"/>
    </row>
    <row r="66" spans="7:8" x14ac:dyDescent="0.25">
      <c r="G66" s="17"/>
      <c r="H66" s="17"/>
    </row>
    <row r="67" spans="7:8" x14ac:dyDescent="0.25">
      <c r="G67" s="17"/>
      <c r="H67" s="17"/>
    </row>
    <row r="68" spans="7:8" x14ac:dyDescent="0.25">
      <c r="G68" s="17"/>
      <c r="H68" s="17"/>
    </row>
    <row r="69" spans="7:8" x14ac:dyDescent="0.25">
      <c r="G69" s="17"/>
      <c r="H69" s="17"/>
    </row>
    <row r="70" spans="7:8" x14ac:dyDescent="0.25">
      <c r="G70" s="17"/>
      <c r="H70" s="17"/>
    </row>
    <row r="71" spans="7:8" x14ac:dyDescent="0.25">
      <c r="G71" s="17"/>
      <c r="H71" s="17"/>
    </row>
    <row r="72" spans="7:8" x14ac:dyDescent="0.25">
      <c r="G72" s="17"/>
      <c r="H72" s="17"/>
    </row>
    <row r="73" spans="7:8" x14ac:dyDescent="0.25">
      <c r="G73" s="17"/>
      <c r="H73" s="17"/>
    </row>
    <row r="74" spans="7:8" x14ac:dyDescent="0.25">
      <c r="G74" s="17"/>
      <c r="H74" s="17"/>
    </row>
    <row r="75" spans="7:8" x14ac:dyDescent="0.25">
      <c r="G75" s="17"/>
      <c r="H75" s="17"/>
    </row>
    <row r="76" spans="7:8" x14ac:dyDescent="0.25">
      <c r="G76" s="17"/>
      <c r="H76" s="17"/>
    </row>
    <row r="77" spans="7:8" x14ac:dyDescent="0.25">
      <c r="G77" s="17"/>
      <c r="H77" s="17"/>
    </row>
    <row r="78" spans="7:8" x14ac:dyDescent="0.25">
      <c r="G78" s="17"/>
      <c r="H78" s="17"/>
    </row>
    <row r="79" spans="7:8" x14ac:dyDescent="0.25">
      <c r="G79" s="17"/>
      <c r="H79" s="17"/>
    </row>
    <row r="80" spans="7:8" x14ac:dyDescent="0.25">
      <c r="G80" s="17"/>
      <c r="H80" s="17"/>
    </row>
    <row r="81" spans="7:8" x14ac:dyDescent="0.25">
      <c r="G81" s="17"/>
      <c r="H81" s="17"/>
    </row>
    <row r="82" spans="7:8" x14ac:dyDescent="0.25">
      <c r="G82" s="17"/>
      <c r="H82" s="17"/>
    </row>
    <row r="83" spans="7:8" x14ac:dyDescent="0.25">
      <c r="G83" s="17"/>
      <c r="H83" s="17"/>
    </row>
    <row r="84" spans="7:8" x14ac:dyDescent="0.25">
      <c r="G84" s="17"/>
      <c r="H84" s="17"/>
    </row>
    <row r="85" spans="7:8" x14ac:dyDescent="0.25">
      <c r="G85" s="17"/>
      <c r="H85" s="17"/>
    </row>
    <row r="86" spans="7:8" x14ac:dyDescent="0.25">
      <c r="G86" s="17"/>
      <c r="H86" s="17"/>
    </row>
    <row r="87" spans="7:8" x14ac:dyDescent="0.25">
      <c r="G87" s="17"/>
      <c r="H87" s="17"/>
    </row>
    <row r="88" spans="7:8" x14ac:dyDescent="0.25">
      <c r="G88" s="17"/>
      <c r="H88" s="17"/>
    </row>
    <row r="89" spans="7:8" x14ac:dyDescent="0.25">
      <c r="G89" s="17"/>
      <c r="H89" s="17"/>
    </row>
    <row r="90" spans="7:8" x14ac:dyDescent="0.25">
      <c r="G90" s="17"/>
      <c r="H90" s="17"/>
    </row>
    <row r="91" spans="7:8" x14ac:dyDescent="0.25">
      <c r="G91" s="17"/>
      <c r="H91" s="17"/>
    </row>
    <row r="92" spans="7:8" x14ac:dyDescent="0.25">
      <c r="G92" s="17"/>
      <c r="H92" s="17"/>
    </row>
    <row r="93" spans="7:8" x14ac:dyDescent="0.25">
      <c r="G93" s="17"/>
      <c r="H93" s="17"/>
    </row>
    <row r="94" spans="7:8" x14ac:dyDescent="0.25">
      <c r="G94" s="17"/>
      <c r="H94" s="17"/>
    </row>
    <row r="95" spans="7:8" x14ac:dyDescent="0.25">
      <c r="G95" s="17"/>
      <c r="H95" s="17"/>
    </row>
    <row r="96" spans="7:8" x14ac:dyDescent="0.25">
      <c r="G96" s="17"/>
      <c r="H96" s="17"/>
    </row>
    <row r="97" spans="7:8" x14ac:dyDescent="0.25">
      <c r="G97" s="17"/>
      <c r="H97" s="17"/>
    </row>
    <row r="98" spans="7:8" x14ac:dyDescent="0.25">
      <c r="G98" s="17"/>
      <c r="H98" s="17"/>
    </row>
    <row r="99" spans="7:8" x14ac:dyDescent="0.25">
      <c r="G99" s="17"/>
      <c r="H99" s="17"/>
    </row>
    <row r="100" spans="7:8" x14ac:dyDescent="0.25">
      <c r="G100" s="17"/>
      <c r="H100" s="17"/>
    </row>
    <row r="101" spans="7:8" x14ac:dyDescent="0.25">
      <c r="G101" s="17"/>
      <c r="H101" s="17"/>
    </row>
    <row r="102" spans="7:8" x14ac:dyDescent="0.25">
      <c r="G102" s="17"/>
      <c r="H102" s="17"/>
    </row>
    <row r="103" spans="7:8" x14ac:dyDescent="0.25">
      <c r="G103" s="17"/>
      <c r="H103" s="17"/>
    </row>
    <row r="104" spans="7:8" x14ac:dyDescent="0.25">
      <c r="G104" s="17"/>
      <c r="H104" s="17"/>
    </row>
    <row r="105" spans="7:8" x14ac:dyDescent="0.25">
      <c r="G105" s="17"/>
      <c r="H105" s="17"/>
    </row>
    <row r="106" spans="7:8" x14ac:dyDescent="0.25">
      <c r="G106" s="17"/>
      <c r="H106" s="17"/>
    </row>
    <row r="107" spans="7:8" x14ac:dyDescent="0.25">
      <c r="H107" s="17"/>
    </row>
    <row r="108" spans="7:8" x14ac:dyDescent="0.25">
      <c r="H108" s="17"/>
    </row>
    <row r="109" spans="7:8" x14ac:dyDescent="0.25">
      <c r="H109" s="17"/>
    </row>
    <row r="110" spans="7:8" x14ac:dyDescent="0.25">
      <c r="H110" s="17"/>
    </row>
    <row r="111" spans="7:8" x14ac:dyDescent="0.25">
      <c r="H111" s="17"/>
    </row>
    <row r="112" spans="7:8" x14ac:dyDescent="0.25">
      <c r="H112" s="17"/>
    </row>
    <row r="113" spans="8:8" x14ac:dyDescent="0.25">
      <c r="H113" s="17"/>
    </row>
    <row r="114" spans="8:8" x14ac:dyDescent="0.25">
      <c r="H114" s="17"/>
    </row>
    <row r="115" spans="8:8" x14ac:dyDescent="0.25">
      <c r="H115" s="17"/>
    </row>
    <row r="116" spans="8:8" x14ac:dyDescent="0.25">
      <c r="H116" s="17"/>
    </row>
    <row r="117" spans="8:8" x14ac:dyDescent="0.25">
      <c r="H117" s="17"/>
    </row>
    <row r="118" spans="8:8" x14ac:dyDescent="0.25">
      <c r="H118" s="17"/>
    </row>
    <row r="119" spans="8:8" x14ac:dyDescent="0.25">
      <c r="H119" s="17"/>
    </row>
    <row r="120" spans="8:8" x14ac:dyDescent="0.25">
      <c r="H120" s="17"/>
    </row>
    <row r="121" spans="8:8" x14ac:dyDescent="0.25">
      <c r="H121" s="17"/>
    </row>
    <row r="122" spans="8:8" x14ac:dyDescent="0.25">
      <c r="H122" s="17"/>
    </row>
    <row r="123" spans="8:8" x14ac:dyDescent="0.25">
      <c r="H123" s="17"/>
    </row>
    <row r="124" spans="8:8" x14ac:dyDescent="0.25">
      <c r="H124" s="17"/>
    </row>
    <row r="125" spans="8:8" x14ac:dyDescent="0.25">
      <c r="H125" s="17"/>
    </row>
    <row r="126" spans="8:8" x14ac:dyDescent="0.25">
      <c r="H126" s="17"/>
    </row>
    <row r="127" spans="8:8" x14ac:dyDescent="0.25">
      <c r="H127" s="17"/>
    </row>
    <row r="128" spans="8:8" x14ac:dyDescent="0.25">
      <c r="H128" s="17"/>
    </row>
    <row r="129" spans="8:8" x14ac:dyDescent="0.25">
      <c r="H129" s="17"/>
    </row>
    <row r="130" spans="8:8" x14ac:dyDescent="0.25">
      <c r="H130" s="17"/>
    </row>
    <row r="131" spans="8:8" x14ac:dyDescent="0.25">
      <c r="H131" s="17"/>
    </row>
    <row r="132" spans="8:8" x14ac:dyDescent="0.25">
      <c r="H132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E26" sqref="E26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36.85546875" style="31" bestFit="1" customWidth="1"/>
    <col min="5" max="5" width="17.7109375" style="31" bestFit="1" customWidth="1"/>
    <col min="6" max="6" width="16.5703125" style="31" bestFit="1" customWidth="1"/>
    <col min="7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1</v>
      </c>
      <c r="B2" s="2">
        <v>45892</v>
      </c>
      <c r="C2" s="1">
        <v>45897</v>
      </c>
      <c r="D2" t="s">
        <v>8</v>
      </c>
      <c r="E2" s="32">
        <v>3350000</v>
      </c>
      <c r="F2" s="32">
        <v>3900000</v>
      </c>
      <c r="G2" s="33">
        <f t="shared" ref="G2:G24" si="0">SUM(F2-E2)</f>
        <v>550000</v>
      </c>
    </row>
    <row r="3" spans="1:8" x14ac:dyDescent="0.25">
      <c r="A3">
        <v>2</v>
      </c>
      <c r="B3" s="1">
        <v>45892</v>
      </c>
      <c r="C3" s="1">
        <v>45902</v>
      </c>
      <c r="D3" t="s">
        <v>9</v>
      </c>
      <c r="E3" s="32">
        <v>2000000</v>
      </c>
      <c r="F3" s="32">
        <v>2230000</v>
      </c>
      <c r="G3" s="33">
        <f t="shared" si="0"/>
        <v>230000</v>
      </c>
    </row>
    <row r="4" spans="1:8" x14ac:dyDescent="0.25">
      <c r="A4">
        <v>3</v>
      </c>
      <c r="B4" s="1">
        <v>45892</v>
      </c>
      <c r="C4" s="1">
        <v>45906</v>
      </c>
      <c r="D4" t="s">
        <v>10</v>
      </c>
      <c r="E4" s="32">
        <v>3450000</v>
      </c>
      <c r="F4" s="32">
        <v>3500000</v>
      </c>
      <c r="G4" s="33">
        <f t="shared" si="0"/>
        <v>50000</v>
      </c>
    </row>
    <row r="5" spans="1:8" x14ac:dyDescent="0.25">
      <c r="A5">
        <v>4</v>
      </c>
      <c r="B5" s="1">
        <v>45908</v>
      </c>
      <c r="C5" s="1">
        <v>45926</v>
      </c>
      <c r="D5" t="s">
        <v>11</v>
      </c>
      <c r="E5" s="32">
        <v>9000000</v>
      </c>
      <c r="F5" s="32">
        <v>9100000</v>
      </c>
      <c r="G5" s="33">
        <f t="shared" si="0"/>
        <v>100000</v>
      </c>
    </row>
    <row r="6" spans="1:8" x14ac:dyDescent="0.25">
      <c r="A6">
        <v>5</v>
      </c>
      <c r="B6" s="1">
        <v>45931</v>
      </c>
      <c r="C6" s="1">
        <v>45942</v>
      </c>
      <c r="D6" t="s">
        <v>12</v>
      </c>
      <c r="E6" s="32">
        <v>2650000</v>
      </c>
      <c r="F6" s="32">
        <v>3200000</v>
      </c>
      <c r="G6" s="33">
        <f t="shared" si="0"/>
        <v>550000</v>
      </c>
    </row>
    <row r="7" spans="1:8" x14ac:dyDescent="0.25">
      <c r="A7">
        <v>6</v>
      </c>
      <c r="B7" s="1">
        <v>45931</v>
      </c>
      <c r="C7" s="1">
        <v>45942</v>
      </c>
      <c r="D7" t="s">
        <v>8</v>
      </c>
      <c r="E7" s="32">
        <v>2650000</v>
      </c>
      <c r="F7" s="32">
        <v>3000000</v>
      </c>
      <c r="G7" s="33">
        <f t="shared" si="0"/>
        <v>350000</v>
      </c>
    </row>
    <row r="8" spans="1:8" x14ac:dyDescent="0.25">
      <c r="A8">
        <v>7</v>
      </c>
      <c r="B8" s="1">
        <v>45931</v>
      </c>
      <c r="C8" s="1">
        <v>45943</v>
      </c>
      <c r="D8" t="s">
        <v>10</v>
      </c>
      <c r="E8" s="34">
        <v>2850000</v>
      </c>
      <c r="F8" s="32">
        <v>3100000</v>
      </c>
      <c r="G8" s="35">
        <f t="shared" si="0"/>
        <v>250000</v>
      </c>
      <c r="H8" s="17"/>
    </row>
    <row r="9" spans="1:8" x14ac:dyDescent="0.25">
      <c r="A9">
        <v>8</v>
      </c>
      <c r="B9" s="1">
        <v>45931</v>
      </c>
      <c r="C9" s="1">
        <v>45960</v>
      </c>
      <c r="D9" s="17" t="s">
        <v>12</v>
      </c>
      <c r="E9" s="34">
        <v>2200000</v>
      </c>
      <c r="F9" s="32">
        <v>3100000</v>
      </c>
      <c r="G9" s="36">
        <f t="shared" si="0"/>
        <v>900000</v>
      </c>
      <c r="H9" s="17"/>
    </row>
    <row r="10" spans="1:8" x14ac:dyDescent="0.25">
      <c r="A10">
        <v>9</v>
      </c>
      <c r="B10" s="1">
        <v>45946</v>
      </c>
      <c r="C10" s="1">
        <v>45963</v>
      </c>
      <c r="D10" s="17" t="s">
        <v>13</v>
      </c>
      <c r="E10" s="34">
        <v>2500000</v>
      </c>
      <c r="F10" s="32">
        <v>2750000</v>
      </c>
      <c r="G10" s="36">
        <f t="shared" si="0"/>
        <v>250000</v>
      </c>
      <c r="H10" s="17"/>
    </row>
    <row r="11" spans="1:8" x14ac:dyDescent="0.25">
      <c r="A11">
        <v>10</v>
      </c>
      <c r="B11" s="1">
        <v>45946</v>
      </c>
      <c r="C11" s="1">
        <v>45970</v>
      </c>
      <c r="D11" s="17" t="s">
        <v>14</v>
      </c>
      <c r="E11" s="34">
        <v>3150000</v>
      </c>
      <c r="F11" s="32">
        <v>3481505</v>
      </c>
      <c r="G11" s="36">
        <f t="shared" si="0"/>
        <v>331505</v>
      </c>
      <c r="H11" s="17"/>
    </row>
    <row r="12" spans="1:8" x14ac:dyDescent="0.25">
      <c r="A12" s="7">
        <v>11</v>
      </c>
      <c r="B12" s="8">
        <v>45946</v>
      </c>
      <c r="C12" s="8">
        <v>45971</v>
      </c>
      <c r="D12" s="18" t="s">
        <v>15</v>
      </c>
      <c r="E12" s="37">
        <v>2750000</v>
      </c>
      <c r="F12" s="38">
        <v>2900000</v>
      </c>
      <c r="G12" s="39">
        <f t="shared" si="0"/>
        <v>150000</v>
      </c>
      <c r="H12" s="17"/>
    </row>
    <row r="13" spans="1:8" x14ac:dyDescent="0.25">
      <c r="A13" s="4">
        <v>12</v>
      </c>
      <c r="B13" s="5">
        <v>45946</v>
      </c>
      <c r="C13" s="5">
        <v>45996</v>
      </c>
      <c r="D13" s="19" t="s">
        <v>16</v>
      </c>
      <c r="E13" s="40">
        <v>2850000</v>
      </c>
      <c r="F13" s="41">
        <v>2850000</v>
      </c>
      <c r="G13" s="42">
        <f t="shared" si="0"/>
        <v>0</v>
      </c>
      <c r="H13" s="21" t="s">
        <v>17</v>
      </c>
    </row>
    <row r="14" spans="1:8" x14ac:dyDescent="0.25">
      <c r="A14" s="9">
        <v>13</v>
      </c>
      <c r="B14" s="10">
        <v>45975</v>
      </c>
      <c r="C14" s="10">
        <v>45982</v>
      </c>
      <c r="D14" s="12" t="s">
        <v>18</v>
      </c>
      <c r="E14" s="43">
        <v>6850000</v>
      </c>
      <c r="F14" s="44">
        <v>7250000</v>
      </c>
      <c r="G14" s="45">
        <f t="shared" si="0"/>
        <v>400000</v>
      </c>
      <c r="H14" s="17"/>
    </row>
    <row r="15" spans="1:8" x14ac:dyDescent="0.25">
      <c r="A15">
        <v>14</v>
      </c>
      <c r="B15" s="1">
        <v>45975</v>
      </c>
      <c r="C15" s="1">
        <v>45992</v>
      </c>
      <c r="D15" s="17" t="s">
        <v>18</v>
      </c>
      <c r="E15" s="34">
        <v>6850000</v>
      </c>
      <c r="F15" s="32">
        <v>7200000</v>
      </c>
      <c r="G15" s="36">
        <f t="shared" si="0"/>
        <v>350000</v>
      </c>
      <c r="H15" s="17"/>
    </row>
    <row r="16" spans="1:8" x14ac:dyDescent="0.25">
      <c r="A16" s="13">
        <v>15</v>
      </c>
      <c r="B16" s="14">
        <v>45982</v>
      </c>
      <c r="C16" s="16">
        <v>45987</v>
      </c>
      <c r="D16" s="20" t="s">
        <v>19</v>
      </c>
      <c r="E16" s="46">
        <v>3700000</v>
      </c>
      <c r="F16" s="47">
        <v>3700000</v>
      </c>
      <c r="G16" s="48">
        <f t="shared" si="0"/>
        <v>0</v>
      </c>
      <c r="H16" s="21" t="s">
        <v>20</v>
      </c>
    </row>
    <row r="17" spans="1:8" x14ac:dyDescent="0.25">
      <c r="A17">
        <v>16</v>
      </c>
      <c r="B17" s="1">
        <v>45987</v>
      </c>
      <c r="C17" s="1">
        <v>45993</v>
      </c>
      <c r="D17" s="17" t="s">
        <v>21</v>
      </c>
      <c r="E17" s="34">
        <v>8350000</v>
      </c>
      <c r="F17" s="32">
        <v>9100000</v>
      </c>
      <c r="G17" s="49">
        <f t="shared" si="0"/>
        <v>750000</v>
      </c>
      <c r="H17" s="17"/>
    </row>
    <row r="18" spans="1:8" x14ac:dyDescent="0.25">
      <c r="A18">
        <v>17</v>
      </c>
      <c r="B18" s="1">
        <v>45993</v>
      </c>
      <c r="C18" s="1">
        <v>45997</v>
      </c>
      <c r="D18" s="17" t="s">
        <v>18</v>
      </c>
      <c r="E18" s="34">
        <v>6650000</v>
      </c>
      <c r="F18" s="32">
        <v>7100000</v>
      </c>
      <c r="G18" s="49">
        <f t="shared" si="0"/>
        <v>450000</v>
      </c>
      <c r="H18" s="17"/>
    </row>
    <row r="19" spans="1:8" x14ac:dyDescent="0.25">
      <c r="A19">
        <v>18</v>
      </c>
      <c r="B19" s="3">
        <v>45996</v>
      </c>
      <c r="C19" s="1">
        <v>46005</v>
      </c>
      <c r="D19" s="17" t="s">
        <v>22</v>
      </c>
      <c r="E19" s="34">
        <v>6850000</v>
      </c>
      <c r="F19" s="32">
        <v>7200000</v>
      </c>
      <c r="G19" s="49">
        <f t="shared" si="0"/>
        <v>350000</v>
      </c>
      <c r="H19" s="17"/>
    </row>
    <row r="20" spans="1:8" x14ac:dyDescent="0.25">
      <c r="A20">
        <v>19</v>
      </c>
      <c r="B20" s="1">
        <v>46001</v>
      </c>
      <c r="C20" s="1">
        <v>46008</v>
      </c>
      <c r="D20" s="17" t="s">
        <v>18</v>
      </c>
      <c r="E20" s="34">
        <v>6700000</v>
      </c>
      <c r="F20" s="32">
        <v>7100000</v>
      </c>
      <c r="G20" s="49">
        <f t="shared" si="0"/>
        <v>400000</v>
      </c>
      <c r="H20" s="17"/>
    </row>
    <row r="21" spans="1:8" x14ac:dyDescent="0.25">
      <c r="A21">
        <v>20</v>
      </c>
      <c r="B21" s="1">
        <v>46006</v>
      </c>
      <c r="C21" s="1">
        <v>46017</v>
      </c>
      <c r="D21" s="17" t="s">
        <v>23</v>
      </c>
      <c r="E21" s="34">
        <v>6650000</v>
      </c>
      <c r="F21" s="32">
        <v>7100000</v>
      </c>
      <c r="G21" s="49">
        <f t="shared" si="0"/>
        <v>450000</v>
      </c>
      <c r="H21" s="17"/>
    </row>
    <row r="22" spans="1:8" x14ac:dyDescent="0.25">
      <c r="A22">
        <v>21</v>
      </c>
      <c r="B22" s="1">
        <v>46010</v>
      </c>
      <c r="C22" s="1">
        <v>46025</v>
      </c>
      <c r="D22" t="s">
        <v>24</v>
      </c>
      <c r="E22" s="34">
        <v>12225000</v>
      </c>
      <c r="F22" s="32">
        <v>12550000</v>
      </c>
      <c r="G22" s="49">
        <f t="shared" si="0"/>
        <v>325000</v>
      </c>
      <c r="H22" s="17"/>
    </row>
    <row r="23" spans="1:8" x14ac:dyDescent="0.25">
      <c r="A23">
        <v>22</v>
      </c>
      <c r="B23" s="1">
        <v>46018</v>
      </c>
      <c r="C23" s="1">
        <v>46026</v>
      </c>
      <c r="D23" t="s">
        <v>18</v>
      </c>
      <c r="E23" s="34">
        <v>6650000</v>
      </c>
      <c r="F23" s="32">
        <v>7000000</v>
      </c>
      <c r="G23" s="49">
        <f t="shared" si="0"/>
        <v>350000</v>
      </c>
      <c r="H23" s="17"/>
    </row>
    <row r="24" spans="1:8" x14ac:dyDescent="0.25">
      <c r="A24">
        <v>23</v>
      </c>
      <c r="B24" s="1">
        <v>46018</v>
      </c>
      <c r="C24" s="1">
        <v>46023</v>
      </c>
      <c r="D24" t="s">
        <v>22</v>
      </c>
      <c r="E24" s="34">
        <v>6650000</v>
      </c>
      <c r="F24" s="32">
        <v>7150000</v>
      </c>
      <c r="G24" s="50">
        <f t="shared" si="0"/>
        <v>500000</v>
      </c>
      <c r="H24" s="17"/>
    </row>
    <row r="25" spans="1:8" x14ac:dyDescent="0.25">
      <c r="A25" s="70" t="s">
        <v>41</v>
      </c>
      <c r="B25" s="71"/>
      <c r="C25" s="71"/>
      <c r="D25" s="71"/>
      <c r="E25" s="71"/>
      <c r="F25" s="71"/>
      <c r="G25" s="57">
        <f>SUM(G2:G24)</f>
        <v>8036505</v>
      </c>
    </row>
    <row r="26" spans="1:8" x14ac:dyDescent="0.25">
      <c r="E26" s="33"/>
    </row>
  </sheetData>
  <mergeCells count="1">
    <mergeCell ref="A25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A6" sqref="A6:F6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36.85546875" style="31" bestFit="1" customWidth="1"/>
    <col min="5" max="6" width="15.5703125" style="31" bestFit="1" customWidth="1"/>
    <col min="7" max="7" width="14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1</v>
      </c>
      <c r="B2" s="2">
        <v>45892</v>
      </c>
      <c r="C2" s="1">
        <v>45897</v>
      </c>
      <c r="D2" t="s">
        <v>8</v>
      </c>
      <c r="E2" s="32">
        <v>3350000</v>
      </c>
      <c r="F2" s="32">
        <v>3900000</v>
      </c>
      <c r="G2" s="33">
        <f>SUM(F2-E2)</f>
        <v>550000</v>
      </c>
    </row>
    <row r="3" spans="1:8" x14ac:dyDescent="0.25">
      <c r="A3">
        <v>2</v>
      </c>
      <c r="B3" s="1">
        <v>45892</v>
      </c>
      <c r="C3" s="1">
        <v>45902</v>
      </c>
      <c r="D3" t="s">
        <v>9</v>
      </c>
      <c r="E3" s="32">
        <v>2000000</v>
      </c>
      <c r="F3" s="32">
        <v>2230000</v>
      </c>
      <c r="G3" s="33">
        <f>SUM(F3-E3)</f>
        <v>230000</v>
      </c>
    </row>
    <row r="4" spans="1:8" x14ac:dyDescent="0.25">
      <c r="A4">
        <v>3</v>
      </c>
      <c r="B4" s="1">
        <v>45892</v>
      </c>
      <c r="C4" s="1">
        <v>45906</v>
      </c>
      <c r="D4" t="s">
        <v>10</v>
      </c>
      <c r="E4" s="32">
        <v>3450000</v>
      </c>
      <c r="F4" s="32">
        <v>3500000</v>
      </c>
      <c r="G4" s="33">
        <f>SUM(F4-E4)</f>
        <v>50000</v>
      </c>
    </row>
    <row r="5" spans="1:8" x14ac:dyDescent="0.25">
      <c r="A5">
        <v>4</v>
      </c>
      <c r="B5" s="1">
        <v>45908</v>
      </c>
      <c r="C5" s="1">
        <v>45926</v>
      </c>
      <c r="D5" t="s">
        <v>11</v>
      </c>
      <c r="E5" s="32">
        <v>9000000</v>
      </c>
      <c r="F5" s="32">
        <v>9100000</v>
      </c>
      <c r="G5" s="33">
        <f>SUM(F5-E5)</f>
        <v>100000</v>
      </c>
    </row>
    <row r="6" spans="1:8" x14ac:dyDescent="0.25">
      <c r="A6" s="70" t="s">
        <v>41</v>
      </c>
      <c r="B6" s="71"/>
      <c r="C6" s="71"/>
      <c r="D6" s="71"/>
      <c r="E6" s="71"/>
      <c r="F6" s="71"/>
      <c r="G6" s="57">
        <f>SUM(G2:G5)</f>
        <v>930000</v>
      </c>
    </row>
    <row r="14" spans="1:8" x14ac:dyDescent="0.25">
      <c r="A14" s="17"/>
    </row>
    <row r="15" spans="1:8" x14ac:dyDescent="0.25">
      <c r="A15" s="17"/>
    </row>
    <row r="16" spans="1:8" x14ac:dyDescent="0.25">
      <c r="A16" s="17"/>
    </row>
    <row r="17" spans="1:1" x14ac:dyDescent="0.25">
      <c r="A17" s="17"/>
    </row>
    <row r="18" spans="1:1" x14ac:dyDescent="0.25">
      <c r="A18" s="17"/>
    </row>
    <row r="19" spans="1:1" x14ac:dyDescent="0.25">
      <c r="A19" s="17"/>
    </row>
    <row r="20" spans="1:1" x14ac:dyDescent="0.25">
      <c r="A20" s="17"/>
    </row>
    <row r="21" spans="1:1" x14ac:dyDescent="0.25">
      <c r="A21" s="17"/>
    </row>
    <row r="22" spans="1:1" x14ac:dyDescent="0.25">
      <c r="A22" s="17"/>
    </row>
  </sheetData>
  <mergeCells count="1">
    <mergeCell ref="A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activeCell="A10" sqref="A10:F10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27.5703125" style="31" bestFit="1" customWidth="1"/>
    <col min="5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5</v>
      </c>
      <c r="B2" s="1">
        <v>45931</v>
      </c>
      <c r="C2" s="1">
        <v>45942</v>
      </c>
      <c r="D2" t="s">
        <v>12</v>
      </c>
      <c r="E2" s="32">
        <v>2650000</v>
      </c>
      <c r="F2" s="32">
        <v>3200000</v>
      </c>
      <c r="G2" s="33">
        <f t="shared" ref="G2:G9" si="0">SUM(F2-E2)</f>
        <v>550000</v>
      </c>
    </row>
    <row r="3" spans="1:8" x14ac:dyDescent="0.25">
      <c r="A3">
        <v>6</v>
      </c>
      <c r="B3" s="1">
        <v>45931</v>
      </c>
      <c r="C3" s="1">
        <v>45942</v>
      </c>
      <c r="D3" t="s">
        <v>8</v>
      </c>
      <c r="E3" s="32">
        <v>2650000</v>
      </c>
      <c r="F3" s="32">
        <v>3000000</v>
      </c>
      <c r="G3" s="33">
        <f t="shared" si="0"/>
        <v>350000</v>
      </c>
    </row>
    <row r="4" spans="1:8" x14ac:dyDescent="0.25">
      <c r="A4">
        <v>7</v>
      </c>
      <c r="B4" s="1">
        <v>45931</v>
      </c>
      <c r="C4" s="1">
        <v>45943</v>
      </c>
      <c r="D4" t="s">
        <v>10</v>
      </c>
      <c r="E4" s="34">
        <v>2850000</v>
      </c>
      <c r="F4" s="32">
        <v>3100000</v>
      </c>
      <c r="G4" s="35">
        <f t="shared" si="0"/>
        <v>250000</v>
      </c>
      <c r="H4" s="17"/>
    </row>
    <row r="5" spans="1:8" x14ac:dyDescent="0.25">
      <c r="A5">
        <v>8</v>
      </c>
      <c r="B5" s="1">
        <v>45931</v>
      </c>
      <c r="C5" s="1">
        <v>45960</v>
      </c>
      <c r="D5" s="17" t="s">
        <v>12</v>
      </c>
      <c r="E5" s="34">
        <v>2200000</v>
      </c>
      <c r="F5" s="32">
        <v>3100000</v>
      </c>
      <c r="G5" s="36">
        <f t="shared" si="0"/>
        <v>900000</v>
      </c>
      <c r="H5" s="17"/>
    </row>
    <row r="6" spans="1:8" x14ac:dyDescent="0.25">
      <c r="A6">
        <v>9</v>
      </c>
      <c r="B6" s="1">
        <v>45946</v>
      </c>
      <c r="C6" s="1">
        <v>45963</v>
      </c>
      <c r="D6" s="17" t="s">
        <v>13</v>
      </c>
      <c r="E6" s="34">
        <v>2500000</v>
      </c>
      <c r="F6" s="32">
        <v>2750000</v>
      </c>
      <c r="G6" s="36">
        <f t="shared" si="0"/>
        <v>250000</v>
      </c>
      <c r="H6" s="17"/>
    </row>
    <row r="7" spans="1:8" x14ac:dyDescent="0.25">
      <c r="A7" s="17">
        <v>10</v>
      </c>
      <c r="B7" s="1">
        <v>45946</v>
      </c>
      <c r="C7" s="1">
        <v>45970</v>
      </c>
      <c r="D7" s="17" t="s">
        <v>14</v>
      </c>
      <c r="E7" s="34">
        <v>3150000</v>
      </c>
      <c r="F7" s="32">
        <v>3481505</v>
      </c>
      <c r="G7" s="36">
        <f t="shared" si="0"/>
        <v>331505</v>
      </c>
      <c r="H7" s="17"/>
    </row>
    <row r="8" spans="1:8" x14ac:dyDescent="0.25">
      <c r="A8" s="18">
        <v>11</v>
      </c>
      <c r="B8" s="8">
        <v>45946</v>
      </c>
      <c r="C8" s="8">
        <v>45971</v>
      </c>
      <c r="D8" s="18" t="s">
        <v>15</v>
      </c>
      <c r="E8" s="37">
        <v>2750000</v>
      </c>
      <c r="F8" s="38">
        <v>2900000</v>
      </c>
      <c r="G8" s="39">
        <f t="shared" si="0"/>
        <v>150000</v>
      </c>
      <c r="H8" s="17"/>
    </row>
    <row r="9" spans="1:8" x14ac:dyDescent="0.25">
      <c r="A9" s="23">
        <v>12</v>
      </c>
      <c r="B9" s="22">
        <v>45946</v>
      </c>
      <c r="C9" s="22">
        <v>45996</v>
      </c>
      <c r="D9" s="23" t="s">
        <v>16</v>
      </c>
      <c r="E9" s="58">
        <v>2850000</v>
      </c>
      <c r="F9" s="59">
        <v>2850000</v>
      </c>
      <c r="G9" s="60">
        <f t="shared" si="0"/>
        <v>0</v>
      </c>
      <c r="H9" s="24" t="s">
        <v>17</v>
      </c>
    </row>
    <row r="10" spans="1:8" x14ac:dyDescent="0.25">
      <c r="A10" s="70" t="s">
        <v>41</v>
      </c>
      <c r="B10" s="71"/>
      <c r="C10" s="71"/>
      <c r="D10" s="71"/>
      <c r="E10" s="71"/>
      <c r="F10" s="71"/>
      <c r="G10" s="57">
        <f>SUM(G2:G9)</f>
        <v>2781505</v>
      </c>
    </row>
  </sheetData>
  <mergeCells count="1">
    <mergeCell ref="A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activeCell="D2" sqref="D2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29.28515625" style="31" bestFit="1" customWidth="1"/>
    <col min="5" max="7" width="15.57031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 s="9">
        <v>13</v>
      </c>
      <c r="B2" s="10">
        <v>45975</v>
      </c>
      <c r="C2" s="10">
        <v>45982</v>
      </c>
      <c r="D2" s="12" t="s">
        <v>18</v>
      </c>
      <c r="E2" s="43">
        <v>6850000</v>
      </c>
      <c r="F2" s="44">
        <v>7250000</v>
      </c>
      <c r="G2" s="45">
        <f>SUM(F2-E2)</f>
        <v>400000</v>
      </c>
      <c r="H2" s="17"/>
    </row>
    <row r="3" spans="1:8" x14ac:dyDescent="0.25">
      <c r="A3">
        <v>14</v>
      </c>
      <c r="B3" s="1">
        <v>45975</v>
      </c>
      <c r="C3" s="1">
        <v>45992</v>
      </c>
      <c r="D3" s="17" t="s">
        <v>18</v>
      </c>
      <c r="E3" s="34">
        <v>6850000</v>
      </c>
      <c r="F3" s="32">
        <v>7200000</v>
      </c>
      <c r="G3" s="36">
        <f>SUM(F3-E3)</f>
        <v>350000</v>
      </c>
      <c r="H3" s="17"/>
    </row>
    <row r="4" spans="1:8" x14ac:dyDescent="0.25">
      <c r="A4" s="13">
        <v>15</v>
      </c>
      <c r="B4" s="14">
        <v>45982</v>
      </c>
      <c r="C4" s="16">
        <v>45987</v>
      </c>
      <c r="D4" s="20" t="s">
        <v>19</v>
      </c>
      <c r="E4" s="46">
        <v>3700000</v>
      </c>
      <c r="F4" s="47">
        <v>3700000</v>
      </c>
      <c r="G4" s="48">
        <f>SUM(F4-E4)</f>
        <v>0</v>
      </c>
      <c r="H4" s="21" t="s">
        <v>20</v>
      </c>
    </row>
    <row r="5" spans="1:8" x14ac:dyDescent="0.25">
      <c r="A5">
        <v>16</v>
      </c>
      <c r="B5" s="1">
        <v>45987</v>
      </c>
      <c r="C5" s="1">
        <v>45993</v>
      </c>
      <c r="D5" s="17" t="s">
        <v>21</v>
      </c>
      <c r="E5" s="34">
        <v>8350000</v>
      </c>
      <c r="F5" s="32">
        <v>9100000</v>
      </c>
      <c r="G5" s="49">
        <f>SUM(F5-E5)</f>
        <v>750000</v>
      </c>
      <c r="H5" s="17"/>
    </row>
    <row r="6" spans="1:8" x14ac:dyDescent="0.25">
      <c r="A6" s="70" t="s">
        <v>41</v>
      </c>
      <c r="B6" s="71"/>
      <c r="C6" s="71"/>
      <c r="D6" s="71"/>
      <c r="E6" s="71"/>
      <c r="F6" s="71"/>
      <c r="G6" s="57">
        <f>SUM(G2:G5)</f>
        <v>1500000</v>
      </c>
    </row>
  </sheetData>
  <mergeCells count="1">
    <mergeCell ref="A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selection activeCell="D2" sqref="D2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29.28515625" style="31" bestFit="1" customWidth="1"/>
    <col min="5" max="6" width="16.5703125" style="31" bestFit="1" customWidth="1"/>
    <col min="7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17</v>
      </c>
      <c r="B2" s="1">
        <v>45993</v>
      </c>
      <c r="C2" s="1">
        <v>45997</v>
      </c>
      <c r="D2" s="17" t="s">
        <v>18</v>
      </c>
      <c r="E2" s="34">
        <v>6650000</v>
      </c>
      <c r="F2" s="32">
        <v>7100000</v>
      </c>
      <c r="G2" s="49">
        <f t="shared" ref="G2:G8" si="0">SUM(F2-E2)</f>
        <v>450000</v>
      </c>
      <c r="H2" s="17"/>
    </row>
    <row r="3" spans="1:8" x14ac:dyDescent="0.25">
      <c r="A3">
        <v>18</v>
      </c>
      <c r="B3" s="3">
        <v>45996</v>
      </c>
      <c r="C3" s="1">
        <v>46005</v>
      </c>
      <c r="D3" s="17" t="s">
        <v>22</v>
      </c>
      <c r="E3" s="34">
        <v>6850000</v>
      </c>
      <c r="F3" s="32">
        <v>7200000</v>
      </c>
      <c r="G3" s="49">
        <f t="shared" si="0"/>
        <v>350000</v>
      </c>
      <c r="H3" s="17"/>
    </row>
    <row r="4" spans="1:8" x14ac:dyDescent="0.25">
      <c r="A4">
        <v>19</v>
      </c>
      <c r="B4" s="1">
        <v>46001</v>
      </c>
      <c r="C4" s="1">
        <v>46008</v>
      </c>
      <c r="D4" s="17" t="s">
        <v>18</v>
      </c>
      <c r="E4" s="34">
        <v>6700000</v>
      </c>
      <c r="F4" s="32">
        <v>7100000</v>
      </c>
      <c r="G4" s="49">
        <f t="shared" si="0"/>
        <v>400000</v>
      </c>
      <c r="H4" s="17"/>
    </row>
    <row r="5" spans="1:8" x14ac:dyDescent="0.25">
      <c r="A5">
        <v>20</v>
      </c>
      <c r="B5" s="1">
        <v>46006</v>
      </c>
      <c r="C5" s="1">
        <v>46017</v>
      </c>
      <c r="D5" s="17" t="s">
        <v>23</v>
      </c>
      <c r="E5" s="34">
        <v>6650000</v>
      </c>
      <c r="F5" s="32">
        <v>7100000</v>
      </c>
      <c r="G5" s="49">
        <f t="shared" si="0"/>
        <v>450000</v>
      </c>
      <c r="H5" s="17"/>
    </row>
    <row r="6" spans="1:8" x14ac:dyDescent="0.25">
      <c r="A6">
        <v>21</v>
      </c>
      <c r="B6" s="1">
        <v>46010</v>
      </c>
      <c r="C6" s="1">
        <v>46025</v>
      </c>
      <c r="D6" t="s">
        <v>24</v>
      </c>
      <c r="E6" s="34">
        <v>12225000</v>
      </c>
      <c r="F6" s="32">
        <v>12550000</v>
      </c>
      <c r="G6" s="49">
        <f t="shared" si="0"/>
        <v>325000</v>
      </c>
      <c r="H6" s="17"/>
    </row>
    <row r="7" spans="1:8" x14ac:dyDescent="0.25">
      <c r="A7">
        <v>22</v>
      </c>
      <c r="B7" s="1">
        <v>46018</v>
      </c>
      <c r="C7" s="1">
        <v>46026</v>
      </c>
      <c r="D7" t="s">
        <v>18</v>
      </c>
      <c r="E7" s="34">
        <v>6650000</v>
      </c>
      <c r="F7" s="32">
        <v>7000000</v>
      </c>
      <c r="G7" s="49">
        <f t="shared" si="0"/>
        <v>350000</v>
      </c>
      <c r="H7" s="17"/>
    </row>
    <row r="8" spans="1:8" x14ac:dyDescent="0.25">
      <c r="A8">
        <v>23</v>
      </c>
      <c r="B8" s="1">
        <v>46018</v>
      </c>
      <c r="C8" s="1">
        <v>46023</v>
      </c>
      <c r="D8" t="s">
        <v>22</v>
      </c>
      <c r="E8" s="34">
        <v>6650000</v>
      </c>
      <c r="F8" s="32">
        <v>7150000</v>
      </c>
      <c r="G8" s="50">
        <f t="shared" si="0"/>
        <v>500000</v>
      </c>
      <c r="H8" s="17"/>
    </row>
    <row r="9" spans="1:8" x14ac:dyDescent="0.25">
      <c r="A9" s="70" t="s">
        <v>41</v>
      </c>
      <c r="B9" s="71"/>
      <c r="C9" s="71"/>
      <c r="D9" s="71"/>
      <c r="E9" s="71"/>
      <c r="F9" s="71"/>
      <c r="G9" s="57">
        <f>SUM(G2:G8)</f>
        <v>2825000</v>
      </c>
    </row>
  </sheetData>
  <mergeCells count="1">
    <mergeCell ref="A9:F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topLeftCell="A4" workbookViewId="0">
      <selection activeCell="E39" sqref="E39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43.140625" style="31" bestFit="1" customWidth="1"/>
    <col min="5" max="5" width="17.7109375" style="31" bestFit="1" customWidth="1"/>
    <col min="6" max="7" width="16.5703125" style="31" bestFit="1" customWidth="1"/>
    <col min="8" max="8" width="13.425781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24</v>
      </c>
      <c r="B2" s="1">
        <v>46035</v>
      </c>
      <c r="C2" s="1">
        <v>46035</v>
      </c>
      <c r="D2" t="s">
        <v>22</v>
      </c>
      <c r="E2" s="32">
        <v>7100000</v>
      </c>
      <c r="F2" s="32">
        <v>7200000</v>
      </c>
      <c r="G2" s="51">
        <f t="shared" ref="G2:G34" si="0">SUM(F2-E2)</f>
        <v>100000</v>
      </c>
      <c r="H2" s="17"/>
    </row>
    <row r="3" spans="1:8" x14ac:dyDescent="0.25">
      <c r="A3">
        <v>25</v>
      </c>
      <c r="B3" s="1">
        <v>46037</v>
      </c>
      <c r="C3" s="1">
        <v>46072</v>
      </c>
      <c r="D3" t="s">
        <v>18</v>
      </c>
      <c r="E3" s="32">
        <v>6650000</v>
      </c>
      <c r="F3" s="32">
        <v>6670000</v>
      </c>
      <c r="G3" s="51">
        <f t="shared" si="0"/>
        <v>20000</v>
      </c>
      <c r="H3" s="17"/>
    </row>
    <row r="4" spans="1:8" x14ac:dyDescent="0.25">
      <c r="A4" s="13">
        <v>26</v>
      </c>
      <c r="B4" s="14">
        <v>46038</v>
      </c>
      <c r="C4" s="14">
        <v>46062</v>
      </c>
      <c r="D4" s="15" t="s">
        <v>25</v>
      </c>
      <c r="E4" s="47">
        <v>4800000</v>
      </c>
      <c r="F4" s="47">
        <v>5075000</v>
      </c>
      <c r="G4" s="52">
        <f t="shared" si="0"/>
        <v>275000</v>
      </c>
      <c r="H4" s="20"/>
    </row>
    <row r="5" spans="1:8" x14ac:dyDescent="0.25">
      <c r="A5">
        <v>27</v>
      </c>
      <c r="B5" s="1">
        <v>46038</v>
      </c>
      <c r="C5" s="1">
        <v>46047</v>
      </c>
      <c r="D5" t="s">
        <v>26</v>
      </c>
      <c r="E5" s="32">
        <v>4650000</v>
      </c>
      <c r="F5" s="32">
        <v>5300000</v>
      </c>
      <c r="G5" s="51">
        <f t="shared" si="0"/>
        <v>650000</v>
      </c>
      <c r="H5" s="17"/>
    </row>
    <row r="6" spans="1:8" x14ac:dyDescent="0.25">
      <c r="A6">
        <v>28</v>
      </c>
      <c r="B6" s="6">
        <v>46047</v>
      </c>
      <c r="C6" s="1">
        <v>46057</v>
      </c>
      <c r="D6" t="s">
        <v>22</v>
      </c>
      <c r="E6" s="32">
        <v>6700000</v>
      </c>
      <c r="F6" s="32">
        <v>7100000</v>
      </c>
      <c r="G6" s="51">
        <f t="shared" si="0"/>
        <v>400000</v>
      </c>
      <c r="H6" s="17"/>
    </row>
    <row r="7" spans="1:8" x14ac:dyDescent="0.25">
      <c r="A7">
        <v>29</v>
      </c>
      <c r="B7" s="6">
        <v>46047</v>
      </c>
      <c r="C7" s="1">
        <v>46067</v>
      </c>
      <c r="D7" t="s">
        <v>22</v>
      </c>
      <c r="E7" s="32">
        <v>6750000</v>
      </c>
      <c r="F7" s="32">
        <v>7035000</v>
      </c>
      <c r="G7" s="51">
        <f t="shared" si="0"/>
        <v>285000</v>
      </c>
      <c r="H7" s="17"/>
    </row>
    <row r="8" spans="1:8" x14ac:dyDescent="0.25">
      <c r="A8">
        <v>30</v>
      </c>
      <c r="B8" s="1">
        <v>46058</v>
      </c>
      <c r="C8" s="1">
        <v>46076</v>
      </c>
      <c r="D8" t="s">
        <v>22</v>
      </c>
      <c r="E8" s="32">
        <v>6700000</v>
      </c>
      <c r="F8" s="32">
        <v>6900000</v>
      </c>
      <c r="G8" s="51">
        <f t="shared" si="0"/>
        <v>200000</v>
      </c>
      <c r="H8" s="17"/>
    </row>
    <row r="9" spans="1:8" x14ac:dyDescent="0.25">
      <c r="A9">
        <v>31</v>
      </c>
      <c r="B9" s="1">
        <v>46068</v>
      </c>
      <c r="C9" s="1">
        <v>46079</v>
      </c>
      <c r="D9" t="s">
        <v>27</v>
      </c>
      <c r="E9" s="32">
        <v>7200000</v>
      </c>
      <c r="F9" s="32">
        <v>7586875</v>
      </c>
      <c r="G9" s="51">
        <f t="shared" si="0"/>
        <v>386875</v>
      </c>
      <c r="H9" s="17"/>
    </row>
    <row r="10" spans="1:8" x14ac:dyDescent="0.25">
      <c r="A10">
        <v>32</v>
      </c>
      <c r="B10" s="1">
        <v>46073</v>
      </c>
      <c r="C10" s="1">
        <v>46099</v>
      </c>
      <c r="D10" t="s">
        <v>22</v>
      </c>
      <c r="E10" s="32">
        <v>6500000</v>
      </c>
      <c r="F10" s="32">
        <v>6800000</v>
      </c>
      <c r="G10" s="51">
        <f t="shared" si="0"/>
        <v>300000</v>
      </c>
      <c r="H10" s="17"/>
    </row>
    <row r="11" spans="1:8" x14ac:dyDescent="0.25">
      <c r="A11" s="7">
        <v>33</v>
      </c>
      <c r="B11" s="8">
        <v>46076</v>
      </c>
      <c r="C11" s="8">
        <v>46080</v>
      </c>
      <c r="D11" s="7" t="s">
        <v>27</v>
      </c>
      <c r="E11" s="38">
        <v>7200000</v>
      </c>
      <c r="F11" s="38">
        <v>7700000</v>
      </c>
      <c r="G11" s="53">
        <f t="shared" si="0"/>
        <v>500000</v>
      </c>
      <c r="H11" s="17"/>
    </row>
    <row r="12" spans="1:8" x14ac:dyDescent="0.25">
      <c r="A12" s="4">
        <v>34</v>
      </c>
      <c r="B12" s="5">
        <v>46078</v>
      </c>
      <c r="C12" s="5">
        <v>46082</v>
      </c>
      <c r="D12" s="4" t="s">
        <v>28</v>
      </c>
      <c r="E12" s="41">
        <v>3000000</v>
      </c>
      <c r="F12" s="41">
        <v>3000000</v>
      </c>
      <c r="G12" s="54">
        <f t="shared" si="0"/>
        <v>0</v>
      </c>
      <c r="H12" s="21" t="s">
        <v>20</v>
      </c>
    </row>
    <row r="13" spans="1:8" x14ac:dyDescent="0.25">
      <c r="A13" s="9">
        <v>35</v>
      </c>
      <c r="B13" s="10">
        <v>46081</v>
      </c>
      <c r="C13" s="10">
        <v>46106</v>
      </c>
      <c r="D13" s="11" t="s">
        <v>29</v>
      </c>
      <c r="E13" s="44">
        <v>9000000</v>
      </c>
      <c r="F13" s="44">
        <v>9550000</v>
      </c>
      <c r="G13" s="55">
        <f t="shared" si="0"/>
        <v>550000</v>
      </c>
      <c r="H13" s="17"/>
    </row>
    <row r="14" spans="1:8" x14ac:dyDescent="0.25">
      <c r="A14">
        <v>36</v>
      </c>
      <c r="B14" s="1">
        <v>46086</v>
      </c>
      <c r="C14" s="1">
        <v>46090</v>
      </c>
      <c r="D14" t="s">
        <v>27</v>
      </c>
      <c r="E14" s="32">
        <v>7350000</v>
      </c>
      <c r="F14" s="32">
        <v>7850000</v>
      </c>
      <c r="G14" s="51">
        <f t="shared" si="0"/>
        <v>500000</v>
      </c>
      <c r="H14" s="17"/>
    </row>
    <row r="15" spans="1:8" x14ac:dyDescent="0.25">
      <c r="A15">
        <v>37</v>
      </c>
      <c r="B15" s="1">
        <v>46091</v>
      </c>
      <c r="C15" s="1">
        <v>46096</v>
      </c>
      <c r="D15" t="s">
        <v>27</v>
      </c>
      <c r="E15" s="32">
        <v>7300000</v>
      </c>
      <c r="F15" s="32">
        <v>7800000</v>
      </c>
      <c r="G15" s="51">
        <f t="shared" si="0"/>
        <v>500000</v>
      </c>
      <c r="H15" s="17"/>
    </row>
    <row r="16" spans="1:8" x14ac:dyDescent="0.25">
      <c r="A16">
        <v>38</v>
      </c>
      <c r="B16" s="1">
        <v>46113</v>
      </c>
      <c r="C16" s="1">
        <v>46136</v>
      </c>
      <c r="D16" t="s">
        <v>30</v>
      </c>
      <c r="E16" s="32">
        <v>8400000</v>
      </c>
      <c r="F16" s="32">
        <v>8700000</v>
      </c>
      <c r="G16" s="51">
        <f t="shared" si="0"/>
        <v>300000</v>
      </c>
      <c r="H16" s="17"/>
    </row>
    <row r="17" spans="1:8" x14ac:dyDescent="0.25">
      <c r="A17">
        <v>39</v>
      </c>
      <c r="B17" s="1">
        <v>46114</v>
      </c>
      <c r="C17" s="1">
        <v>46124</v>
      </c>
      <c r="D17" t="s">
        <v>27</v>
      </c>
      <c r="E17" s="32">
        <v>7550000</v>
      </c>
      <c r="F17" s="32">
        <v>7900000</v>
      </c>
      <c r="G17" s="51">
        <f t="shared" si="0"/>
        <v>350000</v>
      </c>
      <c r="H17" s="17"/>
    </row>
    <row r="18" spans="1:8" x14ac:dyDescent="0.25">
      <c r="A18">
        <v>40</v>
      </c>
      <c r="B18" s="1">
        <v>46114</v>
      </c>
      <c r="C18" s="1">
        <v>46124</v>
      </c>
      <c r="D18" t="s">
        <v>31</v>
      </c>
      <c r="E18" s="32">
        <v>12100000</v>
      </c>
      <c r="F18" s="32">
        <v>12700000</v>
      </c>
      <c r="G18" s="51">
        <f t="shared" si="0"/>
        <v>600000</v>
      </c>
      <c r="H18" s="17"/>
    </row>
    <row r="19" spans="1:8" x14ac:dyDescent="0.25">
      <c r="A19">
        <v>41</v>
      </c>
      <c r="B19" s="1">
        <v>46124</v>
      </c>
      <c r="C19" s="1">
        <v>46125</v>
      </c>
      <c r="D19" t="s">
        <v>27</v>
      </c>
      <c r="E19" s="32">
        <v>7500000</v>
      </c>
      <c r="F19" s="32">
        <v>7900000</v>
      </c>
      <c r="G19" s="51">
        <f t="shared" si="0"/>
        <v>400000</v>
      </c>
      <c r="H19" s="17"/>
    </row>
    <row r="20" spans="1:8" x14ac:dyDescent="0.25">
      <c r="A20">
        <v>42</v>
      </c>
      <c r="B20" s="1">
        <v>46129</v>
      </c>
      <c r="C20" s="1">
        <v>46136</v>
      </c>
      <c r="D20" t="s">
        <v>32</v>
      </c>
      <c r="E20" s="32">
        <v>14150000</v>
      </c>
      <c r="F20" s="32">
        <v>14900000</v>
      </c>
      <c r="G20" s="51">
        <f t="shared" si="0"/>
        <v>750000</v>
      </c>
      <c r="H20" s="17"/>
    </row>
    <row r="21" spans="1:8" x14ac:dyDescent="0.25">
      <c r="A21">
        <v>43</v>
      </c>
      <c r="B21" s="1">
        <v>46130</v>
      </c>
      <c r="C21" s="1">
        <v>46139</v>
      </c>
      <c r="D21" t="s">
        <v>27</v>
      </c>
      <c r="E21" s="32">
        <v>7500000</v>
      </c>
      <c r="F21" s="32">
        <v>7925000</v>
      </c>
      <c r="G21" s="51">
        <f t="shared" si="0"/>
        <v>425000</v>
      </c>
      <c r="H21" s="17"/>
    </row>
    <row r="22" spans="1:8" x14ac:dyDescent="0.25">
      <c r="A22" s="13">
        <v>44</v>
      </c>
      <c r="B22" s="14">
        <v>46140</v>
      </c>
      <c r="C22" s="14">
        <v>46173</v>
      </c>
      <c r="D22" s="15" t="s">
        <v>33</v>
      </c>
      <c r="E22" s="47">
        <v>17500000</v>
      </c>
      <c r="F22" s="47">
        <v>17500000</v>
      </c>
      <c r="G22" s="52">
        <f t="shared" si="0"/>
        <v>0</v>
      </c>
      <c r="H22" s="21" t="s">
        <v>34</v>
      </c>
    </row>
    <row r="23" spans="1:8" x14ac:dyDescent="0.25">
      <c r="A23">
        <v>45</v>
      </c>
      <c r="B23" s="1">
        <v>46141</v>
      </c>
      <c r="C23" s="1">
        <v>46158</v>
      </c>
      <c r="D23" t="s">
        <v>31</v>
      </c>
      <c r="E23" s="32">
        <v>13200000</v>
      </c>
      <c r="F23" s="32">
        <v>13900000</v>
      </c>
      <c r="G23" s="51">
        <f t="shared" si="0"/>
        <v>700000</v>
      </c>
      <c r="H23" s="17"/>
    </row>
    <row r="24" spans="1:8" x14ac:dyDescent="0.25">
      <c r="A24">
        <v>46</v>
      </c>
      <c r="B24" s="1">
        <v>46165</v>
      </c>
      <c r="C24" s="1">
        <v>46173</v>
      </c>
      <c r="D24" t="s">
        <v>35</v>
      </c>
      <c r="E24" s="32">
        <v>12800000</v>
      </c>
      <c r="F24" s="32">
        <v>13500000</v>
      </c>
      <c r="G24" s="51">
        <f t="shared" si="0"/>
        <v>700000</v>
      </c>
      <c r="H24" s="17"/>
    </row>
    <row r="25" spans="1:8" x14ac:dyDescent="0.25">
      <c r="A25">
        <v>47</v>
      </c>
      <c r="B25" s="1">
        <v>46173</v>
      </c>
      <c r="C25" s="1">
        <v>46181</v>
      </c>
      <c r="D25" t="s">
        <v>36</v>
      </c>
      <c r="E25" s="32">
        <v>11500000</v>
      </c>
      <c r="F25" s="32">
        <v>11900000</v>
      </c>
      <c r="G25" s="51">
        <f t="shared" si="0"/>
        <v>400000</v>
      </c>
      <c r="H25" s="17"/>
    </row>
    <row r="26" spans="1:8" x14ac:dyDescent="0.25">
      <c r="A26">
        <v>48</v>
      </c>
      <c r="B26" s="1">
        <v>46178</v>
      </c>
      <c r="C26" s="1">
        <v>46191</v>
      </c>
      <c r="D26" t="s">
        <v>31</v>
      </c>
      <c r="E26" s="32">
        <v>12850000</v>
      </c>
      <c r="F26" s="32">
        <v>13800000</v>
      </c>
      <c r="G26" s="51">
        <f t="shared" si="0"/>
        <v>950000</v>
      </c>
      <c r="H26" s="17"/>
    </row>
    <row r="27" spans="1:8" x14ac:dyDescent="0.25">
      <c r="A27" s="7">
        <v>49</v>
      </c>
      <c r="B27" s="8">
        <v>46181</v>
      </c>
      <c r="C27" s="8">
        <v>46184</v>
      </c>
      <c r="D27" s="7" t="s">
        <v>18</v>
      </c>
      <c r="E27" s="38">
        <v>6500000</v>
      </c>
      <c r="F27" s="38">
        <v>7350000</v>
      </c>
      <c r="G27" s="53">
        <f t="shared" si="0"/>
        <v>850000</v>
      </c>
      <c r="H27" s="17"/>
    </row>
    <row r="28" spans="1:8" x14ac:dyDescent="0.25">
      <c r="A28" s="4">
        <v>50</v>
      </c>
      <c r="B28" s="5">
        <v>46185</v>
      </c>
      <c r="C28" s="5">
        <v>46192</v>
      </c>
      <c r="D28" s="4" t="s">
        <v>37</v>
      </c>
      <c r="E28" s="41">
        <v>3300000</v>
      </c>
      <c r="F28" s="41">
        <v>3300000</v>
      </c>
      <c r="G28" s="54">
        <f t="shared" si="0"/>
        <v>0</v>
      </c>
      <c r="H28" s="21" t="s">
        <v>20</v>
      </c>
    </row>
    <row r="29" spans="1:8" x14ac:dyDescent="0.25">
      <c r="A29" s="9">
        <v>51</v>
      </c>
      <c r="B29" s="10">
        <v>46187</v>
      </c>
      <c r="C29" s="10">
        <v>46190</v>
      </c>
      <c r="D29" s="11" t="s">
        <v>38</v>
      </c>
      <c r="E29" s="44">
        <v>13650000</v>
      </c>
      <c r="F29" s="44">
        <v>14300000</v>
      </c>
      <c r="G29" s="55">
        <f t="shared" si="0"/>
        <v>650000</v>
      </c>
      <c r="H29" s="17"/>
    </row>
    <row r="30" spans="1:8" x14ac:dyDescent="0.25">
      <c r="A30">
        <v>52</v>
      </c>
      <c r="B30" s="1">
        <v>46191</v>
      </c>
      <c r="C30" s="1">
        <v>46203</v>
      </c>
      <c r="D30" t="s">
        <v>35</v>
      </c>
      <c r="E30" s="32">
        <v>12500000</v>
      </c>
      <c r="F30" s="32">
        <v>13400000</v>
      </c>
      <c r="G30" s="51">
        <f t="shared" si="0"/>
        <v>900000</v>
      </c>
      <c r="H30" s="17"/>
    </row>
    <row r="31" spans="1:8" x14ac:dyDescent="0.25">
      <c r="A31">
        <v>53</v>
      </c>
      <c r="B31" s="1">
        <v>46193</v>
      </c>
      <c r="C31" s="1">
        <v>46203</v>
      </c>
      <c r="D31" t="s">
        <v>31</v>
      </c>
      <c r="E31" s="32">
        <v>12800000</v>
      </c>
      <c r="F31" s="32">
        <v>13900000</v>
      </c>
      <c r="G31" s="51">
        <f t="shared" si="0"/>
        <v>1100000</v>
      </c>
      <c r="H31" s="17"/>
    </row>
    <row r="32" spans="1:8" x14ac:dyDescent="0.25">
      <c r="A32">
        <v>54</v>
      </c>
      <c r="B32" s="1">
        <v>46216</v>
      </c>
      <c r="C32" s="27">
        <v>46230</v>
      </c>
      <c r="D32" t="s">
        <v>18</v>
      </c>
      <c r="E32" s="32">
        <v>6800000</v>
      </c>
      <c r="F32" s="32">
        <v>7800000</v>
      </c>
      <c r="G32" s="32">
        <f t="shared" si="0"/>
        <v>1000000</v>
      </c>
    </row>
    <row r="33" spans="1:7" x14ac:dyDescent="0.25">
      <c r="A33">
        <v>55</v>
      </c>
      <c r="B33" s="1">
        <v>46223</v>
      </c>
      <c r="C33" s="1">
        <v>46249</v>
      </c>
      <c r="D33" t="s">
        <v>39</v>
      </c>
      <c r="E33" s="32">
        <v>10000000</v>
      </c>
      <c r="F33" s="32">
        <v>10000000</v>
      </c>
      <c r="G33" s="32">
        <f t="shared" si="0"/>
        <v>0</v>
      </c>
    </row>
    <row r="34" spans="1:7" x14ac:dyDescent="0.25">
      <c r="A34">
        <v>56</v>
      </c>
      <c r="B34" s="1">
        <v>46226</v>
      </c>
      <c r="C34" s="1">
        <v>46241</v>
      </c>
      <c r="D34" t="s">
        <v>40</v>
      </c>
      <c r="E34" s="32">
        <v>14600000</v>
      </c>
      <c r="F34" s="32">
        <v>15400000</v>
      </c>
      <c r="G34" s="32">
        <f t="shared" si="0"/>
        <v>800000</v>
      </c>
    </row>
    <row r="35" spans="1:7" x14ac:dyDescent="0.25">
      <c r="A35">
        <v>57</v>
      </c>
      <c r="B35" s="1">
        <v>46238</v>
      </c>
      <c r="D35" t="s">
        <v>31</v>
      </c>
      <c r="E35" s="33">
        <v>13400000</v>
      </c>
      <c r="G35" s="57"/>
    </row>
    <row r="36" spans="1:7" x14ac:dyDescent="0.25">
      <c r="E36" s="33"/>
      <c r="G36">
        <f>SUM(G2:G35)</f>
        <v>15541875</v>
      </c>
    </row>
    <row r="37" spans="1:7" x14ac:dyDescent="0.25">
      <c r="E37" s="33"/>
    </row>
    <row r="38" spans="1:7" x14ac:dyDescent="0.25">
      <c r="E38" s="33"/>
    </row>
    <row r="39" spans="1:7" x14ac:dyDescent="0.25">
      <c r="E39" s="33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selection activeCell="D7" sqref="D7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30.85546875" style="31" bestFit="1" customWidth="1"/>
    <col min="5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24</v>
      </c>
      <c r="B2" s="1">
        <v>46035</v>
      </c>
      <c r="C2" s="1">
        <v>46035</v>
      </c>
      <c r="D2" t="s">
        <v>22</v>
      </c>
      <c r="E2" s="32">
        <v>7100000</v>
      </c>
      <c r="F2" s="32">
        <v>7200000</v>
      </c>
      <c r="G2" s="51">
        <f t="shared" ref="G2:G7" si="0">SUM(F2-E2)</f>
        <v>100000</v>
      </c>
      <c r="H2" s="17"/>
    </row>
    <row r="3" spans="1:8" x14ac:dyDescent="0.25">
      <c r="A3">
        <v>25</v>
      </c>
      <c r="B3" s="1">
        <v>46037</v>
      </c>
      <c r="C3" s="1">
        <v>46072</v>
      </c>
      <c r="D3" t="s">
        <v>18</v>
      </c>
      <c r="E3" s="32">
        <v>6650000</v>
      </c>
      <c r="F3" s="32">
        <v>6670000</v>
      </c>
      <c r="G3" s="51">
        <f t="shared" si="0"/>
        <v>20000</v>
      </c>
      <c r="H3" s="17"/>
    </row>
    <row r="4" spans="1:8" x14ac:dyDescent="0.25">
      <c r="A4" s="13">
        <v>26</v>
      </c>
      <c r="B4" s="14">
        <v>46038</v>
      </c>
      <c r="C4" s="14">
        <v>46062</v>
      </c>
      <c r="D4" s="15" t="s">
        <v>25</v>
      </c>
      <c r="E4" s="47">
        <v>4800000</v>
      </c>
      <c r="F4" s="47">
        <v>5075000</v>
      </c>
      <c r="G4" s="52">
        <f t="shared" si="0"/>
        <v>275000</v>
      </c>
      <c r="H4" s="20"/>
    </row>
    <row r="5" spans="1:8" x14ac:dyDescent="0.25">
      <c r="A5">
        <v>27</v>
      </c>
      <c r="B5" s="1">
        <v>46038</v>
      </c>
      <c r="C5" s="1">
        <v>46047</v>
      </c>
      <c r="D5" t="s">
        <v>26</v>
      </c>
      <c r="E5" s="32">
        <v>4650000</v>
      </c>
      <c r="F5" s="32">
        <v>5300000</v>
      </c>
      <c r="G5" s="51">
        <f t="shared" si="0"/>
        <v>650000</v>
      </c>
      <c r="H5" s="17"/>
    </row>
    <row r="6" spans="1:8" x14ac:dyDescent="0.25">
      <c r="A6">
        <v>28</v>
      </c>
      <c r="B6" s="6">
        <v>46047</v>
      </c>
      <c r="C6" s="1">
        <v>46057</v>
      </c>
      <c r="D6" t="s">
        <v>22</v>
      </c>
      <c r="E6" s="32">
        <v>6700000</v>
      </c>
      <c r="F6" s="32">
        <v>7100000</v>
      </c>
      <c r="G6" s="51">
        <f t="shared" si="0"/>
        <v>400000</v>
      </c>
      <c r="H6" s="17"/>
    </row>
    <row r="7" spans="1:8" x14ac:dyDescent="0.25">
      <c r="A7">
        <v>29</v>
      </c>
      <c r="B7" s="6">
        <v>46047</v>
      </c>
      <c r="C7" s="1">
        <v>46067</v>
      </c>
      <c r="D7" t="s">
        <v>22</v>
      </c>
      <c r="E7" s="32">
        <v>6750000</v>
      </c>
      <c r="F7" s="32">
        <v>7035000</v>
      </c>
      <c r="G7" s="51">
        <f t="shared" si="0"/>
        <v>285000</v>
      </c>
      <c r="H7" s="17"/>
    </row>
    <row r="8" spans="1:8" x14ac:dyDescent="0.25">
      <c r="A8" s="70" t="s">
        <v>41</v>
      </c>
      <c r="B8" s="71"/>
      <c r="C8" s="71"/>
      <c r="D8" s="71"/>
      <c r="E8" s="71"/>
      <c r="F8" s="71"/>
      <c r="G8" s="57">
        <f>SUM(G2+G3+G4+G5+G6+G7)</f>
        <v>1730000</v>
      </c>
    </row>
  </sheetData>
  <mergeCells count="1">
    <mergeCell ref="A8:F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activeCell="D6" sqref="D6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28.7109375" style="31" bestFit="1" customWidth="1"/>
    <col min="5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30</v>
      </c>
      <c r="B2" s="1">
        <v>46058</v>
      </c>
      <c r="C2" s="1">
        <v>46076</v>
      </c>
      <c r="D2" t="s">
        <v>22</v>
      </c>
      <c r="E2" s="32">
        <v>6700000</v>
      </c>
      <c r="F2" s="32">
        <v>6900000</v>
      </c>
      <c r="G2" s="51">
        <f t="shared" ref="G2:G7" si="0">SUM(F2-E2)</f>
        <v>200000</v>
      </c>
      <c r="H2" s="17"/>
    </row>
    <row r="3" spans="1:8" x14ac:dyDescent="0.25">
      <c r="A3">
        <v>31</v>
      </c>
      <c r="B3" s="1">
        <v>46068</v>
      </c>
      <c r="C3" s="1">
        <v>46079</v>
      </c>
      <c r="D3" t="s">
        <v>27</v>
      </c>
      <c r="E3" s="32">
        <v>7200000</v>
      </c>
      <c r="F3" s="32">
        <v>7586875</v>
      </c>
      <c r="G3" s="51">
        <f t="shared" si="0"/>
        <v>386875</v>
      </c>
      <c r="H3" s="17"/>
    </row>
    <row r="4" spans="1:8" x14ac:dyDescent="0.25">
      <c r="A4">
        <v>32</v>
      </c>
      <c r="B4" s="1">
        <v>46073</v>
      </c>
      <c r="C4" s="1">
        <v>46099</v>
      </c>
      <c r="D4" t="s">
        <v>22</v>
      </c>
      <c r="E4" s="32">
        <v>6500000</v>
      </c>
      <c r="F4" s="32">
        <v>6800000</v>
      </c>
      <c r="G4" s="51">
        <f t="shared" si="0"/>
        <v>300000</v>
      </c>
      <c r="H4" s="17"/>
    </row>
    <row r="5" spans="1:8" x14ac:dyDescent="0.25">
      <c r="A5" s="7">
        <v>33</v>
      </c>
      <c r="B5" s="8">
        <v>46076</v>
      </c>
      <c r="C5" s="8">
        <v>46080</v>
      </c>
      <c r="D5" s="7" t="s">
        <v>27</v>
      </c>
      <c r="E5" s="38">
        <v>7200000</v>
      </c>
      <c r="F5" s="38">
        <v>7700000</v>
      </c>
      <c r="G5" s="53">
        <f t="shared" si="0"/>
        <v>500000</v>
      </c>
      <c r="H5" s="17"/>
    </row>
    <row r="6" spans="1:8" x14ac:dyDescent="0.25">
      <c r="A6" s="4">
        <v>34</v>
      </c>
      <c r="B6" s="5">
        <v>46078</v>
      </c>
      <c r="C6" s="5">
        <v>46082</v>
      </c>
      <c r="D6" s="4" t="s">
        <v>28</v>
      </c>
      <c r="E6" s="41">
        <v>3000000</v>
      </c>
      <c r="F6" s="41">
        <v>3000000</v>
      </c>
      <c r="G6" s="54">
        <f t="shared" si="0"/>
        <v>0</v>
      </c>
      <c r="H6" s="21" t="s">
        <v>20</v>
      </c>
    </row>
    <row r="7" spans="1:8" x14ac:dyDescent="0.25">
      <c r="A7" s="9">
        <v>35</v>
      </c>
      <c r="B7" s="10">
        <v>46081</v>
      </c>
      <c r="C7" s="10">
        <v>46106</v>
      </c>
      <c r="D7" s="11" t="s">
        <v>29</v>
      </c>
      <c r="E7" s="44">
        <v>9000000</v>
      </c>
      <c r="F7" s="44">
        <v>9550000</v>
      </c>
      <c r="G7" s="55">
        <f t="shared" si="0"/>
        <v>550000</v>
      </c>
      <c r="H7" s="17"/>
    </row>
    <row r="8" spans="1:8" x14ac:dyDescent="0.25">
      <c r="A8" s="70" t="s">
        <v>41</v>
      </c>
      <c r="B8" s="71"/>
      <c r="C8" s="71"/>
      <c r="D8" s="71"/>
      <c r="E8" s="71"/>
      <c r="F8" s="71"/>
      <c r="G8" s="57">
        <f>SUM(G2+G3+G4+G5+G6+G7)</f>
        <v>1936875</v>
      </c>
    </row>
  </sheetData>
  <mergeCells count="1">
    <mergeCell ref="A8:F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workbookViewId="0">
      <selection activeCell="D2" sqref="D2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25.140625" style="31" bestFit="1" customWidth="1"/>
    <col min="5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36</v>
      </c>
      <c r="B2" s="1">
        <v>46086</v>
      </c>
      <c r="C2" s="1">
        <v>46090</v>
      </c>
      <c r="D2" t="s">
        <v>27</v>
      </c>
      <c r="E2" s="32">
        <v>7350000</v>
      </c>
      <c r="F2" s="32">
        <v>7850000</v>
      </c>
      <c r="G2" s="51">
        <f>SUM(F2-E2)</f>
        <v>500000</v>
      </c>
      <c r="H2" s="17"/>
    </row>
    <row r="3" spans="1:8" x14ac:dyDescent="0.25">
      <c r="A3">
        <v>37</v>
      </c>
      <c r="B3" s="1">
        <v>46091</v>
      </c>
      <c r="C3" s="1">
        <v>46096</v>
      </c>
      <c r="D3" t="s">
        <v>27</v>
      </c>
      <c r="E3" s="32">
        <v>7300000</v>
      </c>
      <c r="F3" s="32">
        <v>7800000</v>
      </c>
      <c r="G3" s="51">
        <f>SUM(F3-E3)</f>
        <v>500000</v>
      </c>
      <c r="H3" s="17"/>
    </row>
    <row r="4" spans="1:8" x14ac:dyDescent="0.25">
      <c r="A4" s="70" t="s">
        <v>41</v>
      </c>
      <c r="B4" s="71"/>
      <c r="C4" s="71"/>
      <c r="D4" s="71"/>
      <c r="E4" s="71"/>
      <c r="F4" s="71"/>
      <c r="G4" s="57">
        <f>SUM(G2+G3)</f>
        <v>1000000</v>
      </c>
    </row>
  </sheetData>
  <mergeCells count="1">
    <mergeCell ref="A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workbookViewId="0">
      <selection activeCell="D3" sqref="D3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43.140625" style="31" bestFit="1" customWidth="1"/>
    <col min="5" max="6" width="16.5703125" style="31" bestFit="1" customWidth="1"/>
    <col min="7" max="7" width="15.5703125" style="31" bestFit="1" customWidth="1"/>
    <col min="8" max="8" width="13.425781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38</v>
      </c>
      <c r="B2" s="1">
        <v>46113</v>
      </c>
      <c r="C2" s="1">
        <v>46136</v>
      </c>
      <c r="D2" t="s">
        <v>30</v>
      </c>
      <c r="E2" s="32">
        <v>8400000</v>
      </c>
      <c r="F2" s="32">
        <v>8700000</v>
      </c>
      <c r="G2" s="51">
        <f t="shared" ref="G2:G9" si="0">SUM(F2-E2)</f>
        <v>300000</v>
      </c>
      <c r="H2" s="17"/>
    </row>
    <row r="3" spans="1:8" x14ac:dyDescent="0.25">
      <c r="A3">
        <v>39</v>
      </c>
      <c r="B3" s="1">
        <v>46114</v>
      </c>
      <c r="C3" s="1">
        <v>46124</v>
      </c>
      <c r="D3" t="s">
        <v>27</v>
      </c>
      <c r="E3" s="32">
        <v>7550000</v>
      </c>
      <c r="F3" s="32">
        <v>7900000</v>
      </c>
      <c r="G3" s="51">
        <f t="shared" si="0"/>
        <v>350000</v>
      </c>
      <c r="H3" s="17"/>
    </row>
    <row r="4" spans="1:8" x14ac:dyDescent="0.25">
      <c r="A4">
        <v>40</v>
      </c>
      <c r="B4" s="1">
        <v>46114</v>
      </c>
      <c r="C4" s="1">
        <v>46124</v>
      </c>
      <c r="D4" t="s">
        <v>31</v>
      </c>
      <c r="E4" s="32">
        <v>12100000</v>
      </c>
      <c r="F4" s="32">
        <v>12700000</v>
      </c>
      <c r="G4" s="51">
        <f t="shared" si="0"/>
        <v>600000</v>
      </c>
      <c r="H4" s="17"/>
    </row>
    <row r="5" spans="1:8" x14ac:dyDescent="0.25">
      <c r="A5">
        <v>41</v>
      </c>
      <c r="B5" s="1">
        <v>46124</v>
      </c>
      <c r="C5" s="1">
        <v>46125</v>
      </c>
      <c r="D5" t="s">
        <v>27</v>
      </c>
      <c r="E5" s="32">
        <v>7500000</v>
      </c>
      <c r="F5" s="32">
        <v>7900000</v>
      </c>
      <c r="G5" s="51">
        <f t="shared" si="0"/>
        <v>400000</v>
      </c>
      <c r="H5" s="17"/>
    </row>
    <row r="6" spans="1:8" x14ac:dyDescent="0.25">
      <c r="A6">
        <v>42</v>
      </c>
      <c r="B6" s="25">
        <v>46129</v>
      </c>
      <c r="C6" s="1">
        <v>46136</v>
      </c>
      <c r="D6" t="s">
        <v>32</v>
      </c>
      <c r="E6" s="32">
        <v>14150000</v>
      </c>
      <c r="F6" s="32">
        <v>14900000</v>
      </c>
      <c r="G6" s="51">
        <f t="shared" si="0"/>
        <v>750000</v>
      </c>
      <c r="H6" s="17"/>
    </row>
    <row r="7" spans="1:8" x14ac:dyDescent="0.25">
      <c r="A7">
        <v>43</v>
      </c>
      <c r="B7" s="25">
        <v>46130</v>
      </c>
      <c r="C7" s="1">
        <v>46139</v>
      </c>
      <c r="D7" s="17" t="s">
        <v>27</v>
      </c>
      <c r="E7" s="36">
        <v>7500000</v>
      </c>
      <c r="F7" s="34">
        <v>7925000</v>
      </c>
      <c r="G7" s="51">
        <f t="shared" si="0"/>
        <v>425000</v>
      </c>
      <c r="H7" s="17"/>
    </row>
    <row r="8" spans="1:8" x14ac:dyDescent="0.25">
      <c r="A8" s="13">
        <v>44</v>
      </c>
      <c r="B8" s="16">
        <v>46140</v>
      </c>
      <c r="C8" s="14">
        <v>46173</v>
      </c>
      <c r="D8" s="20" t="s">
        <v>33</v>
      </c>
      <c r="E8" s="61">
        <v>17500000</v>
      </c>
      <c r="F8" s="46">
        <v>17500000</v>
      </c>
      <c r="G8" s="52">
        <f t="shared" si="0"/>
        <v>0</v>
      </c>
      <c r="H8" s="21" t="s">
        <v>34</v>
      </c>
    </row>
    <row r="9" spans="1:8" x14ac:dyDescent="0.25">
      <c r="A9">
        <v>45</v>
      </c>
      <c r="B9" s="25">
        <v>46141</v>
      </c>
      <c r="C9" s="1">
        <v>46158</v>
      </c>
      <c r="D9" s="17" t="s">
        <v>31</v>
      </c>
      <c r="E9" s="36">
        <v>13200000</v>
      </c>
      <c r="F9" s="34">
        <v>13900000</v>
      </c>
      <c r="G9" s="51">
        <f t="shared" si="0"/>
        <v>700000</v>
      </c>
      <c r="H9" s="17"/>
    </row>
    <row r="10" spans="1:8" x14ac:dyDescent="0.25">
      <c r="A10" s="70" t="s">
        <v>41</v>
      </c>
      <c r="B10" s="71"/>
      <c r="C10" s="71"/>
      <c r="D10" s="71"/>
      <c r="E10" s="71"/>
      <c r="F10" s="71"/>
      <c r="G10" s="56">
        <f>SUM(G2+G3+G4+G5+G6+G7+G9)</f>
        <v>3525000</v>
      </c>
    </row>
    <row r="11" spans="1:8" x14ac:dyDescent="0.25">
      <c r="B11" s="17"/>
      <c r="D11" s="17"/>
      <c r="E11" s="26"/>
      <c r="F11" s="17"/>
      <c r="G11" s="17"/>
    </row>
    <row r="12" spans="1:8" x14ac:dyDescent="0.25">
      <c r="B12" s="17"/>
      <c r="D12" s="17"/>
      <c r="E12" s="26"/>
      <c r="F12" s="17"/>
      <c r="G12" s="17"/>
    </row>
    <row r="13" spans="1:8" x14ac:dyDescent="0.25">
      <c r="D13" s="17"/>
      <c r="F13" s="17"/>
    </row>
    <row r="14" spans="1:8" x14ac:dyDescent="0.25">
      <c r="D14" s="17"/>
    </row>
    <row r="15" spans="1:8" x14ac:dyDescent="0.25">
      <c r="D15" s="17"/>
    </row>
    <row r="16" spans="1:8" x14ac:dyDescent="0.25">
      <c r="D16" s="17"/>
    </row>
    <row r="17" spans="4:4" x14ac:dyDescent="0.25">
      <c r="D17" s="17"/>
    </row>
    <row r="18" spans="4:4" x14ac:dyDescent="0.25">
      <c r="D18" s="17"/>
    </row>
    <row r="19" spans="4:4" x14ac:dyDescent="0.25">
      <c r="D19" s="17"/>
    </row>
    <row r="20" spans="4:4" x14ac:dyDescent="0.25">
      <c r="D20" s="17"/>
    </row>
    <row r="21" spans="4:4" x14ac:dyDescent="0.25">
      <c r="D21" s="17"/>
    </row>
  </sheetData>
  <mergeCells count="1">
    <mergeCell ref="A10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"/>
  <sheetViews>
    <sheetView workbookViewId="0">
      <selection activeCell="G2" sqref="G2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40.28515625" style="31" bestFit="1" customWidth="1"/>
    <col min="5" max="6" width="16.5703125" style="31" bestFit="1" customWidth="1"/>
    <col min="7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46</v>
      </c>
      <c r="B2" s="1">
        <v>46165</v>
      </c>
      <c r="C2" s="1">
        <v>46173</v>
      </c>
      <c r="D2" t="s">
        <v>35</v>
      </c>
      <c r="E2" s="32">
        <v>12800000</v>
      </c>
      <c r="F2" s="32">
        <v>13500000</v>
      </c>
      <c r="G2" s="51">
        <f>SUM(F2-E2)</f>
        <v>700000</v>
      </c>
      <c r="H2" s="17"/>
    </row>
    <row r="3" spans="1:8" x14ac:dyDescent="0.25">
      <c r="A3">
        <v>47</v>
      </c>
      <c r="B3" s="1">
        <v>46173</v>
      </c>
      <c r="C3" s="1">
        <v>46181</v>
      </c>
      <c r="D3" t="s">
        <v>36</v>
      </c>
      <c r="E3" s="32">
        <v>11500000</v>
      </c>
      <c r="F3" s="32">
        <v>11900000</v>
      </c>
      <c r="G3" s="51">
        <f>SUM(F3-E3)</f>
        <v>400000</v>
      </c>
      <c r="H3" s="17"/>
    </row>
    <row r="4" spans="1:8" x14ac:dyDescent="0.25">
      <c r="A4" s="70" t="s">
        <v>41</v>
      </c>
      <c r="B4" s="71"/>
      <c r="C4" s="71"/>
      <c r="D4" s="71"/>
      <c r="E4" s="71"/>
      <c r="F4" s="71"/>
      <c r="G4" s="57">
        <f>SUM(G2+G3)</f>
        <v>1100000</v>
      </c>
    </row>
  </sheetData>
  <mergeCells count="1">
    <mergeCell ref="A4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selection activeCell="D2" sqref="D2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40" style="31" bestFit="1" customWidth="1"/>
    <col min="5" max="6" width="16.5703125" style="31" bestFit="1" customWidth="1"/>
    <col min="7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48</v>
      </c>
      <c r="B2" s="1">
        <v>46178</v>
      </c>
      <c r="C2" s="1">
        <v>46191</v>
      </c>
      <c r="D2" t="s">
        <v>31</v>
      </c>
      <c r="E2" s="32">
        <v>12850000</v>
      </c>
      <c r="F2" s="32">
        <v>13800000</v>
      </c>
      <c r="G2" s="51">
        <f t="shared" ref="G2:G7" si="0">SUM(F2-E2)</f>
        <v>950000</v>
      </c>
      <c r="H2" s="17"/>
    </row>
    <row r="3" spans="1:8" x14ac:dyDescent="0.25">
      <c r="A3" s="7">
        <v>49</v>
      </c>
      <c r="B3" s="8">
        <v>46181</v>
      </c>
      <c r="C3" s="8">
        <v>46184</v>
      </c>
      <c r="D3" s="7" t="s">
        <v>18</v>
      </c>
      <c r="E3" s="38">
        <v>6500000</v>
      </c>
      <c r="F3" s="38">
        <v>7350000</v>
      </c>
      <c r="G3" s="53">
        <f t="shared" si="0"/>
        <v>850000</v>
      </c>
      <c r="H3" s="17"/>
    </row>
    <row r="4" spans="1:8" x14ac:dyDescent="0.25">
      <c r="A4" s="4">
        <v>50</v>
      </c>
      <c r="B4" s="5">
        <v>46185</v>
      </c>
      <c r="C4" s="5">
        <v>46192</v>
      </c>
      <c r="D4" s="4" t="s">
        <v>37</v>
      </c>
      <c r="E4" s="41">
        <v>3300000</v>
      </c>
      <c r="F4" s="41">
        <v>3300000</v>
      </c>
      <c r="G4" s="54">
        <f t="shared" si="0"/>
        <v>0</v>
      </c>
      <c r="H4" s="21" t="s">
        <v>20</v>
      </c>
    </row>
    <row r="5" spans="1:8" x14ac:dyDescent="0.25">
      <c r="A5" s="9">
        <v>51</v>
      </c>
      <c r="B5" s="10">
        <v>46187</v>
      </c>
      <c r="C5" s="10">
        <v>46190</v>
      </c>
      <c r="D5" s="11" t="s">
        <v>38</v>
      </c>
      <c r="E5" s="44">
        <v>13650000</v>
      </c>
      <c r="F5" s="44">
        <v>14300000</v>
      </c>
      <c r="G5" s="55">
        <f t="shared" si="0"/>
        <v>650000</v>
      </c>
      <c r="H5" s="17"/>
    </row>
    <row r="6" spans="1:8" x14ac:dyDescent="0.25">
      <c r="A6">
        <v>52</v>
      </c>
      <c r="B6" s="1">
        <v>46191</v>
      </c>
      <c r="C6" s="1"/>
      <c r="D6" t="s">
        <v>35</v>
      </c>
      <c r="E6" s="32">
        <v>12500000</v>
      </c>
      <c r="F6" s="32">
        <v>12700000</v>
      </c>
      <c r="G6" s="51">
        <f t="shared" si="0"/>
        <v>200000</v>
      </c>
      <c r="H6" s="17"/>
    </row>
    <row r="7" spans="1:8" x14ac:dyDescent="0.25">
      <c r="A7">
        <v>53</v>
      </c>
      <c r="B7" s="1">
        <v>46193</v>
      </c>
      <c r="C7" s="1">
        <v>46216</v>
      </c>
      <c r="D7" t="s">
        <v>31</v>
      </c>
      <c r="E7" s="32">
        <v>12800000</v>
      </c>
      <c r="F7" s="32">
        <v>13900000</v>
      </c>
      <c r="G7" s="51">
        <f t="shared" si="0"/>
        <v>1100000</v>
      </c>
      <c r="H7" s="17"/>
    </row>
    <row r="8" spans="1:8" x14ac:dyDescent="0.25">
      <c r="A8" s="70" t="s">
        <v>41</v>
      </c>
      <c r="B8" s="71"/>
      <c r="C8" s="71"/>
      <c r="D8" s="71"/>
      <c r="E8" s="71"/>
      <c r="F8" s="71"/>
      <c r="G8" s="57">
        <f>SUM(G2:G7)</f>
        <v>3750000</v>
      </c>
    </row>
    <row r="9" spans="1:8" x14ac:dyDescent="0.25">
      <c r="E9" s="33">
        <f>SUM(E2:E7)</f>
        <v>61600000</v>
      </c>
    </row>
  </sheetData>
  <mergeCells count="1">
    <mergeCell ref="A8:F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>
      <selection activeCell="A5" sqref="A5:D5"/>
    </sheetView>
  </sheetViews>
  <sheetFormatPr defaultRowHeight="15" x14ac:dyDescent="0.25"/>
  <cols>
    <col min="1" max="1" width="5.28515625" style="31" bestFit="1" customWidth="1"/>
    <col min="2" max="2" width="14.140625" style="31" bestFit="1" customWidth="1"/>
    <col min="3" max="3" width="14" style="31" bestFit="1" customWidth="1"/>
    <col min="4" max="4" width="40" style="31" bestFit="1" customWidth="1"/>
    <col min="5" max="6" width="16.5703125" style="31" bestFit="1" customWidth="1"/>
    <col min="7" max="7" width="15.5703125" style="31" bestFit="1" customWidth="1"/>
    <col min="8" max="8" width="11.140625" style="31" bestFit="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>
        <v>54</v>
      </c>
      <c r="B2" s="62">
        <v>46216</v>
      </c>
      <c r="C2" s="27">
        <v>46230</v>
      </c>
      <c r="D2" t="s">
        <v>18</v>
      </c>
      <c r="E2" s="32">
        <v>6800000</v>
      </c>
      <c r="F2" s="32">
        <v>7800000</v>
      </c>
      <c r="G2" s="32">
        <f>SUM(F2-E2)</f>
        <v>1000000</v>
      </c>
    </row>
    <row r="3" spans="1:8" x14ac:dyDescent="0.25">
      <c r="A3">
        <v>55</v>
      </c>
      <c r="B3" s="62">
        <v>46223</v>
      </c>
      <c r="C3" s="62">
        <v>46249</v>
      </c>
      <c r="D3" t="s">
        <v>39</v>
      </c>
      <c r="E3" s="32">
        <v>10000000</v>
      </c>
      <c r="F3" s="32">
        <v>10000000</v>
      </c>
      <c r="G3" s="32">
        <f>SUM(F3-E3)</f>
        <v>0</v>
      </c>
    </row>
    <row r="4" spans="1:8" x14ac:dyDescent="0.25">
      <c r="A4">
        <v>56</v>
      </c>
      <c r="B4" s="62">
        <v>46226</v>
      </c>
      <c r="C4" s="62">
        <v>46241</v>
      </c>
      <c r="D4" t="s">
        <v>40</v>
      </c>
      <c r="E4" s="32">
        <v>14600000</v>
      </c>
      <c r="F4" s="32">
        <v>15400000</v>
      </c>
      <c r="G4" s="32">
        <f>SUM(F4-E4)</f>
        <v>800000</v>
      </c>
    </row>
    <row r="5" spans="1:8" x14ac:dyDescent="0.25">
      <c r="A5" s="72" t="s">
        <v>41</v>
      </c>
      <c r="B5" s="72"/>
      <c r="C5" s="72"/>
      <c r="D5" s="72"/>
      <c r="E5" s="32"/>
      <c r="F5" s="32"/>
      <c r="G5" s="64">
        <f>SUM(G2:G4)</f>
        <v>1800000</v>
      </c>
    </row>
    <row r="6" spans="1:8" x14ac:dyDescent="0.25">
      <c r="E6" s="65">
        <f>SUM(E2:E4)</f>
        <v>31400000</v>
      </c>
      <c r="F6" s="32"/>
      <c r="G6" s="32"/>
    </row>
    <row r="7" spans="1:8" x14ac:dyDescent="0.25">
      <c r="E7" s="32"/>
      <c r="F7" s="32"/>
      <c r="G7" s="32"/>
    </row>
    <row r="8" spans="1:8" x14ac:dyDescent="0.25">
      <c r="E8" s="32"/>
      <c r="F8" s="32"/>
      <c r="G8" s="32"/>
    </row>
    <row r="9" spans="1:8" x14ac:dyDescent="0.25">
      <c r="E9" s="32"/>
      <c r="F9" s="32"/>
      <c r="G9" s="32"/>
    </row>
    <row r="10" spans="1:8" x14ac:dyDescent="0.25">
      <c r="E10" s="32"/>
      <c r="F10" s="32"/>
      <c r="G10" s="32"/>
    </row>
    <row r="11" spans="1:8" x14ac:dyDescent="0.25">
      <c r="E11" s="32"/>
      <c r="F11" s="32"/>
      <c r="G11" s="32"/>
    </row>
    <row r="12" spans="1:8" x14ac:dyDescent="0.25">
      <c r="E12" s="32"/>
      <c r="F12" s="32"/>
      <c r="G12" s="32"/>
    </row>
    <row r="13" spans="1:8" x14ac:dyDescent="0.25">
      <c r="E13" s="32"/>
      <c r="F13" s="32"/>
      <c r="G13" s="32"/>
    </row>
    <row r="14" spans="1:8" x14ac:dyDescent="0.25">
      <c r="E14" s="32"/>
      <c r="F14" s="32"/>
      <c r="G14" s="32"/>
    </row>
    <row r="15" spans="1:8" x14ac:dyDescent="0.25">
      <c r="E15" s="32"/>
      <c r="F15" s="32"/>
      <c r="G15" s="32"/>
    </row>
    <row r="16" spans="1:8" x14ac:dyDescent="0.25">
      <c r="E16" s="32"/>
      <c r="F16" s="32"/>
      <c r="G16" s="32"/>
    </row>
  </sheetData>
  <mergeCells count="1">
    <mergeCell ref="A5:D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"/>
  <sheetViews>
    <sheetView workbookViewId="0">
      <selection sqref="A1:H4"/>
    </sheetView>
  </sheetViews>
  <sheetFormatPr defaultRowHeight="15" x14ac:dyDescent="0.25"/>
  <cols>
    <col min="1" max="1" width="5.28515625" style="31" customWidth="1"/>
    <col min="2" max="2" width="14.140625" style="31" customWidth="1"/>
    <col min="3" max="3" width="14" style="31" customWidth="1"/>
    <col min="4" max="4" width="40" style="31" customWidth="1"/>
    <col min="5" max="5" width="16.5703125" style="31" customWidth="1"/>
    <col min="6" max="6" width="16.5703125" style="31" bestFit="1" customWidth="1"/>
    <col min="7" max="7" width="14" bestFit="1" customWidth="1"/>
    <col min="8" max="8" width="11.140625" style="31" customWidth="1"/>
  </cols>
  <sheetData>
    <row r="1" spans="1:8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 s="28">
        <v>57</v>
      </c>
      <c r="B2" s="66">
        <v>46238</v>
      </c>
      <c r="C2" s="29">
        <v>44078</v>
      </c>
      <c r="D2" s="28" t="s">
        <v>31</v>
      </c>
      <c r="E2" s="63">
        <v>13400000</v>
      </c>
      <c r="F2" s="63">
        <v>13900000</v>
      </c>
      <c r="G2" s="63">
        <f>SUM(F2-E2)</f>
        <v>500000</v>
      </c>
      <c r="H2" s="28"/>
    </row>
    <row r="3" spans="1:8" x14ac:dyDescent="0.25">
      <c r="A3" s="31">
        <v>58</v>
      </c>
      <c r="B3" s="62">
        <v>46260</v>
      </c>
      <c r="C3" s="62">
        <v>46269</v>
      </c>
      <c r="D3" s="31" t="s">
        <v>18</v>
      </c>
      <c r="E3" s="67">
        <v>7397500</v>
      </c>
      <c r="F3" s="67">
        <v>7800000</v>
      </c>
      <c r="G3" s="33">
        <f>SUM(F3-E3)</f>
        <v>402500</v>
      </c>
    </row>
    <row r="4" spans="1:8" x14ac:dyDescent="0.25">
      <c r="A4" s="31">
        <v>59</v>
      </c>
      <c r="B4" s="62">
        <v>46260</v>
      </c>
      <c r="D4" s="31" t="s">
        <v>38</v>
      </c>
      <c r="E4" s="67">
        <v>14600000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3BF7-52E5-40E6-845C-B2E9CF4313D7}">
  <dimension ref="A1:H4"/>
  <sheetViews>
    <sheetView tabSelected="1" workbookViewId="0">
      <selection activeCell="D7" sqref="D7"/>
    </sheetView>
  </sheetViews>
  <sheetFormatPr defaultRowHeight="15" x14ac:dyDescent="0.25"/>
  <cols>
    <col min="1" max="1" width="5.28515625" bestFit="1" customWidth="1"/>
    <col min="2" max="2" width="14.140625" bestFit="1" customWidth="1"/>
    <col min="3" max="3" width="14" bestFit="1" customWidth="1"/>
    <col min="4" max="4" width="40" bestFit="1" customWidth="1"/>
    <col min="5" max="6" width="16.5703125" bestFit="1" customWidth="1"/>
    <col min="7" max="7" width="14" bestFit="1" customWidth="1"/>
    <col min="8" max="8" width="11.140625" bestFit="1" customWidth="1"/>
  </cols>
  <sheetData>
    <row r="1" spans="1:8" x14ac:dyDescent="0.25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</row>
    <row r="2" spans="1:8" x14ac:dyDescent="0.25">
      <c r="A2" s="69">
        <v>60</v>
      </c>
      <c r="B2" s="1">
        <v>46273</v>
      </c>
      <c r="C2" s="69"/>
      <c r="D2" s="69" t="s">
        <v>31</v>
      </c>
      <c r="E2" s="73">
        <v>12900000</v>
      </c>
      <c r="F2" s="63"/>
      <c r="G2" s="63"/>
      <c r="H2" s="28"/>
    </row>
    <row r="3" spans="1:8" x14ac:dyDescent="0.25">
      <c r="A3" s="69"/>
      <c r="B3" s="62"/>
      <c r="C3" s="62"/>
      <c r="D3" s="69"/>
      <c r="E3" s="67"/>
      <c r="F3" s="67"/>
      <c r="G3" s="33"/>
      <c r="H3" s="69"/>
    </row>
    <row r="4" spans="1:8" x14ac:dyDescent="0.25">
      <c r="A4" s="69"/>
      <c r="B4" s="62"/>
      <c r="C4" s="69"/>
      <c r="D4" s="69"/>
      <c r="E4" s="67"/>
      <c r="F4" s="69"/>
      <c r="G4" s="69"/>
      <c r="H4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Real Time</vt:lpstr>
      <vt:lpstr>2025</vt:lpstr>
      <vt:lpstr>agus-sep</vt:lpstr>
      <vt:lpstr>Okt</vt:lpstr>
      <vt:lpstr>Nov</vt:lpstr>
      <vt:lpstr>Des</vt:lpstr>
      <vt:lpstr>2026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Khairin Noor</dc:creator>
  <cp:lastModifiedBy>Khairin Noor</cp:lastModifiedBy>
  <cp:lastPrinted>2026-07-02T09:47:38Z</cp:lastPrinted>
  <dcterms:created xsi:type="dcterms:W3CDTF">2026-07-02T05:14:40Z</dcterms:created>
  <dcterms:modified xsi:type="dcterms:W3CDTF">2026-09-09T08:28:50Z</dcterms:modified>
</cp:coreProperties>
</file>