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Coding\Laporan Keuangan - Copy\"/>
    </mc:Choice>
  </mc:AlternateContent>
  <xr:revisionPtr revIDLastSave="0" documentId="13_ncr:1_{097890D7-F001-4F32-A652-2C8CD26C364C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Ag-Sep" sheetId="1" r:id="rId1"/>
    <sheet name="Okt" sheetId="2" r:id="rId2"/>
    <sheet name="Nov" sheetId="3" r:id="rId3"/>
    <sheet name="Des" sheetId="4" r:id="rId4"/>
    <sheet name="Jan" sheetId="5" r:id="rId5"/>
    <sheet name="Feb" sheetId="6" r:id="rId6"/>
    <sheet name="Mar" sheetId="7" r:id="rId7"/>
    <sheet name="Apr" sheetId="8" r:id="rId8"/>
    <sheet name="Mei" sheetId="9" r:id="rId9"/>
    <sheet name="Juni" sheetId="10" r:id="rId10"/>
    <sheet name="Juli" sheetId="11" r:id="rId11"/>
    <sheet name="Agu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1" l="1"/>
  <c r="G4" i="11" s="1"/>
  <c r="G5" i="11" s="1"/>
  <c r="G6" i="11" s="1"/>
  <c r="G7" i="11" s="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E2" i="12" s="1"/>
  <c r="G2" i="12" s="1"/>
  <c r="G3" i="12" s="1"/>
  <c r="G4" i="12" s="1"/>
  <c r="G5" i="12" s="1"/>
  <c r="G6" i="12" s="1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" i="10"/>
  <c r="G3" i="10" s="1"/>
  <c r="G4" i="10" s="1"/>
  <c r="G5" i="10" s="1"/>
  <c r="G6" i="10" s="1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G46" i="10" s="1"/>
  <c r="G2" i="9"/>
  <c r="G3" i="9" s="1"/>
  <c r="G4" i="9" s="1"/>
  <c r="G5" i="9" s="1"/>
  <c r="G6" i="9" s="1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2" i="8"/>
  <c r="G3" i="8" s="1"/>
  <c r="G4" i="8" s="1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3" i="7"/>
  <c r="G4" i="7" s="1"/>
  <c r="G5" i="7" s="1"/>
  <c r="G6" i="7" s="1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4" i="6"/>
  <c r="G5" i="6" s="1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" i="6"/>
  <c r="G3" i="5"/>
  <c r="G4" i="5" s="1"/>
  <c r="G5" i="5" s="1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" i="3"/>
  <c r="G4" i="3" s="1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3" i="2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3" i="1"/>
</calcChain>
</file>

<file path=xl/sharedStrings.xml><?xml version="1.0" encoding="utf-8"?>
<sst xmlns="http://schemas.openxmlformats.org/spreadsheetml/2006/main" count="1143" uniqueCount="186">
  <si>
    <t>Tanggal</t>
  </si>
  <si>
    <t>Deskripsi</t>
  </si>
  <si>
    <t xml:space="preserve">Jumlah </t>
  </si>
  <si>
    <t>Ketegori</t>
  </si>
  <si>
    <t>Uang masuk</t>
  </si>
  <si>
    <t>Uang Keluar</t>
  </si>
  <si>
    <t>Saldo</t>
  </si>
  <si>
    <t>bukti transaksi</t>
  </si>
  <si>
    <t>Modal Awal</t>
  </si>
  <si>
    <t>-</t>
  </si>
  <si>
    <t>Equity</t>
  </si>
  <si>
    <t>Iphone</t>
  </si>
  <si>
    <t>Inventory</t>
  </si>
  <si>
    <t>casing &amp; anti gores</t>
  </si>
  <si>
    <t>Iklan fb marketplace</t>
  </si>
  <si>
    <t>Expenses</t>
  </si>
  <si>
    <t>Wireless router</t>
  </si>
  <si>
    <t>iP 12 128 GB (putih)</t>
  </si>
  <si>
    <t>Pendapatan</t>
  </si>
  <si>
    <t>adamin bank</t>
  </si>
  <si>
    <t>saldo bawaan</t>
  </si>
  <si>
    <t>iP Xr 64 GB (hitam)</t>
  </si>
  <si>
    <t>iP 12 128 GB (mint)</t>
  </si>
  <si>
    <t>Iphone 13 Pro Max 128 GB iBox</t>
  </si>
  <si>
    <t>Case iPhone 13 pro max</t>
  </si>
  <si>
    <t>Admin Bank (kartu debit)</t>
  </si>
  <si>
    <t>iP Pro max 13 128 GB (hitam)</t>
  </si>
  <si>
    <t>Admin Bank (rekening)</t>
  </si>
  <si>
    <t>Saldo Bawaan</t>
  </si>
  <si>
    <t>iPhone</t>
  </si>
  <si>
    <t>case iPhone</t>
  </si>
  <si>
    <t>iP 11 128 GB (ungu)</t>
  </si>
  <si>
    <t>iP 11 128 GB (putih)</t>
  </si>
  <si>
    <t>iP 11 128 GB (hitam)</t>
  </si>
  <si>
    <t xml:space="preserve"> Saldo Shopee (Ridho)</t>
  </si>
  <si>
    <t>Saldo Shopee (Khairin)</t>
  </si>
  <si>
    <t>Suntikan dana (Ridho)</t>
  </si>
  <si>
    <t>Suntikan dana (Khairin)</t>
  </si>
  <si>
    <t>IPhone</t>
  </si>
  <si>
    <t>Invenroty</t>
  </si>
  <si>
    <t>Investor (Abah Ridho)</t>
  </si>
  <si>
    <t>SIM sticker</t>
  </si>
  <si>
    <t>Marketing (coco)</t>
  </si>
  <si>
    <t>Admin bank</t>
  </si>
  <si>
    <t>Peminjaman Dana (Khairin)</t>
  </si>
  <si>
    <t>iP 11 64 GB (ungu)</t>
  </si>
  <si>
    <t>31/102025</t>
  </si>
  <si>
    <t>Pengembalian dana (Khairin)</t>
  </si>
  <si>
    <t>iP xr 256 GB (putih)</t>
  </si>
  <si>
    <t>iP 11 256 GB (hitam</t>
  </si>
  <si>
    <t>Cofee (tomoro coffe)</t>
  </si>
  <si>
    <t>Operasional</t>
  </si>
  <si>
    <t>iP 13 128 GB (midnight)</t>
  </si>
  <si>
    <t>Case iPhone</t>
  </si>
  <si>
    <t>iP 11 64 Gb iBox (Hitam)</t>
  </si>
  <si>
    <t>Gosend</t>
  </si>
  <si>
    <t>Deviden</t>
  </si>
  <si>
    <t>admin bank</t>
  </si>
  <si>
    <t>Refund SMC iP 11 iP 11 64 Gb</t>
  </si>
  <si>
    <t>iP 15 128 GB iBox (ice blue)</t>
  </si>
  <si>
    <t>iP 13 128 GB iBox (Midnight)</t>
  </si>
  <si>
    <t>Admin Bank</t>
  </si>
  <si>
    <t>UJL DJKN</t>
  </si>
  <si>
    <t>iP 13 128 GB iBox (White)</t>
  </si>
  <si>
    <t>iP 13 128 GB iBox (Starlight)</t>
  </si>
  <si>
    <t>iP 13 128 GB Digimap (Pink)</t>
  </si>
  <si>
    <t>iP 16 128 GB iBox (White)</t>
  </si>
  <si>
    <t>Pengembalian UJL DJKN</t>
  </si>
  <si>
    <t>Canva Pro</t>
  </si>
  <si>
    <t>Investor (Zaini)</t>
  </si>
  <si>
    <t>Affiliate Tiktok</t>
  </si>
  <si>
    <t>Join Reseller Joming</t>
  </si>
  <si>
    <t>iP 13 128 GB Beacukai (Starlight)</t>
  </si>
  <si>
    <t>iP 12 128 GB Beacukai (White)</t>
  </si>
  <si>
    <t>Adaptor Ugreen</t>
  </si>
  <si>
    <t>Dana Masuk (Ridho)</t>
  </si>
  <si>
    <t>Dana Masuk (Khairin)</t>
  </si>
  <si>
    <t>Biaya Bank</t>
  </si>
  <si>
    <t>Adaptor + Kabel Baserus</t>
  </si>
  <si>
    <t>Microphone KiiP Official</t>
  </si>
  <si>
    <t>Background Putih</t>
  </si>
  <si>
    <t>Stand Bacground</t>
  </si>
  <si>
    <t>iPhone 13 128 GB iBox (Starlight)</t>
  </si>
  <si>
    <t>iPhone 13 128 GB inter (Pink)</t>
  </si>
  <si>
    <t>N/b:</t>
  </si>
  <si>
    <t xml:space="preserve">Merah </t>
  </si>
  <si>
    <t>Inventory iPhone</t>
  </si>
  <si>
    <t>Clear Case Migoz Official</t>
  </si>
  <si>
    <t>Orange</t>
  </si>
  <si>
    <t>Inventory lainnya</t>
  </si>
  <si>
    <t>iPhone 14 128 GB iBox (Blue)</t>
  </si>
  <si>
    <t>Hijau</t>
  </si>
  <si>
    <t>Pendapatan jual beli</t>
  </si>
  <si>
    <t>Kuning</t>
  </si>
  <si>
    <t>Pendapatan tiktok affiliate</t>
  </si>
  <si>
    <t>Ungu</t>
  </si>
  <si>
    <t>iPhone 13 128 GB iBox (Midnight)</t>
  </si>
  <si>
    <t>Biru</t>
  </si>
  <si>
    <t>Case Migoz(2) + Adaptor Ugreen (1)</t>
  </si>
  <si>
    <t>Abu-abu</t>
  </si>
  <si>
    <t>Dana baru &amp; bawaan</t>
  </si>
  <si>
    <t>Hardisk External</t>
  </si>
  <si>
    <t>Suntikan Dana (Khairin)</t>
  </si>
  <si>
    <t>Investasi</t>
  </si>
  <si>
    <t>Suntikan Dana (Ridho)</t>
  </si>
  <si>
    <t>iPhone 13 128 G iBox (Starlight)</t>
  </si>
  <si>
    <t>iPhone 11 64 GB inter (Tosca)</t>
  </si>
  <si>
    <t>iPhone 15 128 GB iBox (Green)</t>
  </si>
  <si>
    <t>case migoz</t>
  </si>
  <si>
    <t>Clear Case Migoz</t>
  </si>
  <si>
    <t>Clear Case</t>
  </si>
  <si>
    <t>Hitam</t>
  </si>
  <si>
    <t>Exit investor</t>
  </si>
  <si>
    <t>Blue-grey</t>
  </si>
  <si>
    <t>pengeluaran Affiliate</t>
  </si>
  <si>
    <t>iQoo Neo 10</t>
  </si>
  <si>
    <t>Google drive</t>
  </si>
  <si>
    <t>Suntikan dana (Abah Khairin)</t>
  </si>
  <si>
    <t>buku 365 ide hook</t>
  </si>
  <si>
    <t>Suntikan dana (Mama Khairin)</t>
  </si>
  <si>
    <t>iPhone 13 128 gb iBox (Starlight)</t>
  </si>
  <si>
    <t>iPhone 15 128 GB iBox (Tosca)</t>
  </si>
  <si>
    <t>Exit Dana Investor (Azay)</t>
  </si>
  <si>
    <t>tiktok ads</t>
  </si>
  <si>
    <t>Stand Holder</t>
  </si>
  <si>
    <t>Mic Wireless TNW A37</t>
  </si>
  <si>
    <t>iPhone 15 Blue 128 GB Beacukai</t>
  </si>
  <si>
    <t>iPhone 14 Blue 128 GB IBox</t>
  </si>
  <si>
    <t>iPhone 15 Pro Natural Titanium 128 GB ibox (no box)</t>
  </si>
  <si>
    <t>Case Silica Bumper + Amino Card Wallet</t>
  </si>
  <si>
    <t>Box OEM + Sticker</t>
  </si>
  <si>
    <t>Tiktok ads</t>
  </si>
  <si>
    <t>Capcut Pro</t>
  </si>
  <si>
    <t>iPhone 15 Pro White Titanium 256 GB iBox</t>
  </si>
  <si>
    <t>ANKER Powerbank</t>
  </si>
  <si>
    <t>Biaya transport</t>
  </si>
  <si>
    <t>iPhone 16 Pro Max White Titanium 256 GB iBox</t>
  </si>
  <si>
    <t>iPhone 15 Pro Natural Titanium 128 GB ibox</t>
  </si>
  <si>
    <t>Affiliate Tiktok Iklan</t>
  </si>
  <si>
    <t>Sleep aid Patch</t>
  </si>
  <si>
    <t>Lelang DJKN</t>
  </si>
  <si>
    <t>Iphone 15 Pro Natural Titanium 128 GB iBox</t>
  </si>
  <si>
    <t>Pengembalian Lelang DJKN</t>
  </si>
  <si>
    <t>transportasi</t>
  </si>
  <si>
    <t>iPhone 15 Pro Blue Titanium 128 GB iBox</t>
  </si>
  <si>
    <t>Soft slim matte case</t>
  </si>
  <si>
    <t>Selfie Light Portable</t>
  </si>
  <si>
    <t>iPhone 14 Pro Max Deep Purple 128 GB iBox</t>
  </si>
  <si>
    <t>Pengembalian dana Tiktok</t>
  </si>
  <si>
    <t>iPhone 15 Pro Natural Titanium 128 GB iBox</t>
  </si>
  <si>
    <t>Tamperd Glass Migoz</t>
  </si>
  <si>
    <t>Jet Cleaner</t>
  </si>
  <si>
    <t>iPhone 13 Midnight 128 GB iBox</t>
  </si>
  <si>
    <t>Migoz Official</t>
  </si>
  <si>
    <t>Tiktok Ads</t>
  </si>
  <si>
    <t>Transportasi</t>
  </si>
  <si>
    <t>Laptop DAC</t>
  </si>
  <si>
    <t>iPhone 15 Pro Natural Titanium 256 GB iBox</t>
  </si>
  <si>
    <t>Adaptor + Pouch Migoz</t>
  </si>
  <si>
    <t>Clear Case + Tampered Glass Migoz</t>
  </si>
  <si>
    <t>Affiliate Tiktok (Uang Masuk #31)</t>
  </si>
  <si>
    <t>Abah Ridho (Uang Keluar #79)</t>
  </si>
  <si>
    <t>Affiliate Tiktok (Uang Masuk #32)</t>
  </si>
  <si>
    <t>Affiliate Tiktok (Uang Masuk #33)</t>
  </si>
  <si>
    <t>iPhone 13 Midnight 128 GB iBox (beli dari Wahyu)</t>
  </si>
  <si>
    <t>iPhone 15 Pro Natural Titanium 128 GB iBox (jual ke Wahyu)</t>
  </si>
  <si>
    <t>iPhone 15 Pro Blue Titanium 128 GB iBox (jual tunai)</t>
  </si>
  <si>
    <t>iPhone 15 Pink 128 GB iBox (beli dari Thariq)</t>
  </si>
  <si>
    <t>Tiktok (Uang Keluar #82)</t>
  </si>
  <si>
    <t>iPhone 15 Pro Natural Titanium 256 GB iBox (beli dari Santoso)</t>
  </si>
  <si>
    <t>Tiktok (Uang Keluar #84)</t>
  </si>
  <si>
    <t>iPhone 13 Midnight 128 GB iBox (jual ke Arfan)</t>
  </si>
  <si>
    <t>CapCut Pro</t>
  </si>
  <si>
    <t>DP iPhone 15 Pro Natural Titanium 256 GB iBox (Ferdiansyah)</t>
  </si>
  <si>
    <t>Kabel Ugreen (konten Tiktok)</t>
  </si>
  <si>
    <t>iPhone 15 Pro Natural Titanium 256 GB iBox (pelunasan Ferdiansyah)</t>
  </si>
  <si>
    <t>Operasional (Uang Keluar #92)</t>
  </si>
  <si>
    <t>iPhone 15 Pink 128 GB iBox</t>
  </si>
  <si>
    <t>Affiliate Tiktok (Uang Masuk #34)</t>
  </si>
  <si>
    <t>Deviden (Uang Keluar #95)</t>
  </si>
  <si>
    <t>iPhone 13 Midnight 128 GB iBox (beli dari Surya)</t>
  </si>
  <si>
    <t>Operasional (Uang Keluar #96)</t>
  </si>
  <si>
    <t>Operasional (Uang Keluar #97)</t>
  </si>
  <si>
    <t>iPhone 15 Pro 256 GB iBox (beli dari Wahyoga)</t>
  </si>
  <si>
    <t>Tiktok (Uang Keluar #98)</t>
  </si>
  <si>
    <t>Migoz Official (Uang Masuk #35)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</si>
</sst>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44" formatCode="_-&quot;Rp&quot;* #,##0.00_-;\-&quot;Rp&quot;* #,##0.00_-;_-&quot;Rp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</patternFill>
    </fill>
    <fill>
      <patternFill patternType="solid">
        <fgColor rgb="FF7030A0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rgb="FF002060"/>
      </patternFill>
    </fill>
    <fill>
      <patternFill patternType="solid">
        <f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02060"/>
        <bgColor rgb="FF00206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2" fontId="1" fillId="0" borderId="0"/>
    <xf numFmtId="44" fontId="1" fillId="0" borderId="0"/>
  </cellStyleXfs>
  <cellXfs count="94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3" borderId="0" xfId="0" applyFill="1"/>
    <xf numFmtId="0" fontId="0" fillId="5" borderId="0" xfId="0" applyFill="1"/>
    <xf numFmtId="0" fontId="0" fillId="4" borderId="0" xfId="0" applyFill="1"/>
    <xf numFmtId="0" fontId="0" fillId="2" borderId="0" xfId="0" applyFill="1"/>
    <xf numFmtId="0" fontId="0" fillId="6" borderId="0" xfId="0" applyFill="1"/>
    <xf numFmtId="0" fontId="0" fillId="9" borderId="0" xfId="0" applyFill="1"/>
    <xf numFmtId="0" fontId="0" fillId="8" borderId="0" xfId="0" applyFill="1"/>
    <xf numFmtId="0" fontId="0" fillId="10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3" fillId="12" borderId="0" xfId="0" applyFont="1" applyFill="1"/>
    <xf numFmtId="0" fontId="3" fillId="12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3" fillId="13" borderId="0" xfId="0" applyFont="1" applyFill="1"/>
    <xf numFmtId="0" fontId="0" fillId="0" borderId="0" xfId="0" applyAlignment="1">
      <alignment horizontal="center" vertical="center"/>
    </xf>
    <xf numFmtId="0" fontId="0" fillId="14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/>
    <xf numFmtId="0" fontId="1" fillId="5" borderId="0" xfId="0" applyFont="1" applyFill="1"/>
    <xf numFmtId="0" fontId="1" fillId="14" borderId="0" xfId="0" applyFont="1" applyFill="1" applyAlignment="1">
      <alignment horizontal="center" vertical="center"/>
    </xf>
    <xf numFmtId="0" fontId="1" fillId="4" borderId="0" xfId="0" applyFont="1" applyFill="1"/>
    <xf numFmtId="0" fontId="1" fillId="4" borderId="0" xfId="0" applyFont="1" applyFill="1" applyAlignment="1">
      <alignment horizontal="center" vertical="center"/>
    </xf>
    <xf numFmtId="0" fontId="1" fillId="2" borderId="0" xfId="0" applyFont="1" applyFill="1"/>
    <xf numFmtId="0" fontId="1" fillId="6" borderId="0" xfId="0" applyFont="1" applyFill="1"/>
    <xf numFmtId="0" fontId="1" fillId="9" borderId="0" xfId="0" applyFont="1" applyFill="1"/>
    <xf numFmtId="14" fontId="1" fillId="0" borderId="0" xfId="0" applyNumberFormat="1" applyFont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14" fontId="1" fillId="0" borderId="0" xfId="0" applyNumberFormat="1" applyFont="1"/>
    <xf numFmtId="0" fontId="0" fillId="24" borderId="0" xfId="0" applyFill="1"/>
    <xf numFmtId="0" fontId="3" fillId="23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42" fontId="0" fillId="0" borderId="0" xfId="1" applyFont="1" applyAlignment="1">
      <alignment horizontal="center"/>
    </xf>
    <xf numFmtId="44" fontId="0" fillId="0" borderId="0" xfId="1" applyNumberFormat="1" applyFont="1" applyAlignment="1">
      <alignment horizontal="center"/>
    </xf>
    <xf numFmtId="44" fontId="0" fillId="0" borderId="0" xfId="2" applyFon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2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0" fillId="0" borderId="0" xfId="2" applyFont="1"/>
    <xf numFmtId="44" fontId="0" fillId="0" borderId="0" xfId="0" applyNumberFormat="1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4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44" fontId="1" fillId="0" borderId="0" xfId="2" applyAlignment="1">
      <alignment horizontal="center" vertical="center"/>
    </xf>
    <xf numFmtId="0" fontId="1" fillId="25" borderId="0" xfId="0" applyFont="1" applyFill="1" applyAlignment="1">
      <alignment horizontal="center" vertical="center"/>
    </xf>
    <xf numFmtId="0" fontId="1" fillId="26" borderId="0" xfId="0" applyFont="1" applyFill="1" applyAlignment="1">
      <alignment horizontal="center" vertical="center"/>
    </xf>
    <xf numFmtId="0" fontId="1" fillId="27" borderId="0" xfId="0" applyFont="1" applyFill="1" applyAlignment="1">
      <alignment horizontal="center" vertical="center"/>
    </xf>
    <xf numFmtId="0" fontId="1" fillId="28" borderId="0" xfId="0" applyFont="1" applyFill="1" applyAlignment="1">
      <alignment horizontal="center" vertical="center"/>
    </xf>
    <xf numFmtId="0" fontId="1" fillId="29" borderId="0" xfId="0" applyFont="1" applyFill="1" applyAlignment="1">
      <alignment horizontal="center" vertical="center"/>
    </xf>
    <xf numFmtId="14" fontId="0" fillId="0" borderId="0" xfId="0" applyNumberFormat="1" applyAlignme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</cellXfs>
  <cellStyles count="3">
    <cellStyle name="Currency" xfId="2" builtinId="4"/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B11" sqref="B11"/>
    </sheetView>
  </sheetViews>
  <sheetFormatPr defaultRowHeight="15" x14ac:dyDescent="0.25"/>
  <cols>
    <col min="1" max="1" width="17" style="67" bestFit="1" customWidth="1"/>
    <col min="2" max="2" width="27.140625" style="67" bestFit="1" customWidth="1"/>
    <col min="3" max="3" width="7.5703125" style="67" bestFit="1" customWidth="1"/>
    <col min="4" max="4" width="13.42578125" style="67" bestFit="1" customWidth="1"/>
    <col min="5" max="5" width="16.5703125" style="67" bestFit="1" customWidth="1"/>
    <col min="6" max="6" width="15.5703125" style="67" bestFit="1" customWidth="1"/>
    <col min="7" max="7" width="16.5703125" style="67" bestFit="1" customWidth="1"/>
    <col min="8" max="8" width="13.42578125" style="67" bestFit="1" customWidth="1"/>
    <col min="9" max="12" width="9.140625" style="67" customWidth="1"/>
    <col min="13" max="16384" width="9.140625" style="67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45890</v>
      </c>
      <c r="B2" s="67" t="s">
        <v>8</v>
      </c>
      <c r="C2" s="67" t="s">
        <v>9</v>
      </c>
      <c r="D2" s="69" t="s">
        <v>10</v>
      </c>
      <c r="E2" s="70">
        <v>10000000</v>
      </c>
      <c r="F2" s="71"/>
      <c r="G2" s="71">
        <v>10000000</v>
      </c>
    </row>
    <row r="3" spans="1:8" x14ac:dyDescent="0.25">
      <c r="A3" s="90">
        <v>45892</v>
      </c>
      <c r="B3" s="67" t="s">
        <v>11</v>
      </c>
      <c r="C3" s="67">
        <v>3</v>
      </c>
      <c r="D3" s="69" t="s">
        <v>12</v>
      </c>
      <c r="E3" s="70"/>
      <c r="F3" s="71">
        <v>8800000</v>
      </c>
      <c r="G3" s="71">
        <f>G2-F3</f>
        <v>1200000</v>
      </c>
    </row>
    <row r="4" spans="1:8" x14ac:dyDescent="0.25">
      <c r="A4" s="91"/>
      <c r="B4" s="67" t="s">
        <v>13</v>
      </c>
      <c r="C4" s="67">
        <v>2</v>
      </c>
      <c r="D4" s="69" t="s">
        <v>12</v>
      </c>
      <c r="E4" s="70"/>
      <c r="F4" s="71">
        <v>69738</v>
      </c>
      <c r="G4" s="71">
        <f>G3-F4</f>
        <v>1130262</v>
      </c>
    </row>
    <row r="5" spans="1:8" x14ac:dyDescent="0.25">
      <c r="A5" s="2">
        <v>45894</v>
      </c>
      <c r="B5" s="67" t="s">
        <v>14</v>
      </c>
      <c r="C5" s="67" t="s">
        <v>9</v>
      </c>
      <c r="D5" s="67" t="s">
        <v>15</v>
      </c>
      <c r="E5" s="70"/>
      <c r="F5" s="71">
        <v>200000</v>
      </c>
      <c r="G5" s="71">
        <f>G4-F5</f>
        <v>930262</v>
      </c>
    </row>
    <row r="6" spans="1:8" x14ac:dyDescent="0.25">
      <c r="A6" s="2">
        <v>45896</v>
      </c>
      <c r="B6" s="67" t="s">
        <v>16</v>
      </c>
      <c r="C6" s="67">
        <v>1</v>
      </c>
      <c r="D6" s="69" t="s">
        <v>12</v>
      </c>
      <c r="E6" s="70"/>
      <c r="F6" s="71">
        <v>159520</v>
      </c>
      <c r="G6" s="71">
        <f>G5-F6</f>
        <v>770742</v>
      </c>
    </row>
    <row r="7" spans="1:8" x14ac:dyDescent="0.25">
      <c r="A7" s="2">
        <v>45897</v>
      </c>
      <c r="B7" s="67" t="s">
        <v>17</v>
      </c>
      <c r="C7" s="67">
        <v>1</v>
      </c>
      <c r="D7" s="67" t="s">
        <v>18</v>
      </c>
      <c r="E7" s="70">
        <v>3900000</v>
      </c>
      <c r="F7" s="71"/>
      <c r="G7" s="71">
        <f>G6+E7</f>
        <v>4670742</v>
      </c>
    </row>
    <row r="8" spans="1:8" x14ac:dyDescent="0.25">
      <c r="A8" s="90">
        <v>45900</v>
      </c>
      <c r="B8" s="67" t="s">
        <v>19</v>
      </c>
      <c r="C8" s="67" t="s">
        <v>9</v>
      </c>
      <c r="D8" s="67" t="s">
        <v>15</v>
      </c>
      <c r="E8" s="72"/>
      <c r="F8" s="71">
        <v>10000</v>
      </c>
      <c r="G8" s="71">
        <f>G7-F8</f>
        <v>4660742</v>
      </c>
    </row>
    <row r="9" spans="1:8" x14ac:dyDescent="0.25">
      <c r="A9" s="91"/>
      <c r="B9" s="67" t="s">
        <v>20</v>
      </c>
      <c r="C9" s="67" t="s">
        <v>9</v>
      </c>
      <c r="D9" s="67" t="s">
        <v>10</v>
      </c>
      <c r="E9" s="70">
        <v>8049</v>
      </c>
      <c r="F9" s="71"/>
      <c r="G9" s="71">
        <f>G8+E9</f>
        <v>4668791</v>
      </c>
    </row>
    <row r="10" spans="1:8" x14ac:dyDescent="0.25">
      <c r="A10" s="2">
        <v>45902</v>
      </c>
      <c r="B10" s="67" t="s">
        <v>21</v>
      </c>
      <c r="C10" s="67">
        <v>1</v>
      </c>
      <c r="D10" s="67" t="s">
        <v>18</v>
      </c>
      <c r="E10" s="70">
        <v>2230000</v>
      </c>
      <c r="F10" s="71"/>
      <c r="G10" s="71">
        <f>G9+E10</f>
        <v>6898791</v>
      </c>
    </row>
    <row r="11" spans="1:8" x14ac:dyDescent="0.25">
      <c r="A11" s="90">
        <v>45906</v>
      </c>
      <c r="B11" s="67" t="s">
        <v>22</v>
      </c>
      <c r="C11" s="67">
        <v>1</v>
      </c>
      <c r="D11" s="67" t="s">
        <v>18</v>
      </c>
      <c r="E11" s="70">
        <v>3500000</v>
      </c>
      <c r="F11" s="71"/>
      <c r="G11" s="71">
        <f>G10+E11</f>
        <v>10398791</v>
      </c>
    </row>
    <row r="12" spans="1:8" x14ac:dyDescent="0.25">
      <c r="A12" s="91"/>
      <c r="B12" s="67" t="s">
        <v>20</v>
      </c>
      <c r="D12" s="67" t="s">
        <v>10</v>
      </c>
      <c r="E12" s="70">
        <v>1951</v>
      </c>
      <c r="F12" s="71"/>
      <c r="G12" s="71">
        <f>G11+E12</f>
        <v>10400742</v>
      </c>
    </row>
    <row r="13" spans="1:8" x14ac:dyDescent="0.25">
      <c r="A13" s="2">
        <v>45908</v>
      </c>
      <c r="B13" s="67" t="s">
        <v>23</v>
      </c>
      <c r="C13" s="67">
        <v>1</v>
      </c>
      <c r="D13" s="69" t="s">
        <v>12</v>
      </c>
      <c r="E13" s="72"/>
      <c r="F13" s="71">
        <v>9000000</v>
      </c>
      <c r="G13" s="71">
        <f>G12-F13</f>
        <v>1400742</v>
      </c>
    </row>
    <row r="14" spans="1:8" x14ac:dyDescent="0.25">
      <c r="A14" s="2">
        <v>45909</v>
      </c>
      <c r="B14" s="67" t="s">
        <v>24</v>
      </c>
      <c r="C14" s="67">
        <v>1</v>
      </c>
      <c r="D14" s="67" t="s">
        <v>12</v>
      </c>
      <c r="E14" s="72"/>
      <c r="F14" s="71">
        <v>38579</v>
      </c>
      <c r="G14" s="71">
        <f>SUM(G13-F14)</f>
        <v>1362163</v>
      </c>
    </row>
    <row r="15" spans="1:8" x14ac:dyDescent="0.25">
      <c r="A15" s="2">
        <v>45925</v>
      </c>
      <c r="B15" s="67" t="s">
        <v>25</v>
      </c>
      <c r="C15" s="67" t="s">
        <v>9</v>
      </c>
      <c r="D15" s="67" t="s">
        <v>15</v>
      </c>
      <c r="E15" s="72"/>
      <c r="F15" s="71">
        <v>3500</v>
      </c>
      <c r="G15" s="72">
        <f>SUM(G14-F15)</f>
        <v>1358663</v>
      </c>
    </row>
    <row r="16" spans="1:8" x14ac:dyDescent="0.25">
      <c r="A16" s="2">
        <v>45926</v>
      </c>
      <c r="B16" s="67" t="s">
        <v>26</v>
      </c>
      <c r="C16" s="67">
        <v>1</v>
      </c>
      <c r="D16" s="67" t="s">
        <v>18</v>
      </c>
      <c r="E16" s="71">
        <v>9100000</v>
      </c>
      <c r="F16" s="72"/>
      <c r="G16" s="72">
        <f>SUM(G15+E16)</f>
        <v>10458663</v>
      </c>
    </row>
    <row r="17" spans="1:7" x14ac:dyDescent="0.25">
      <c r="A17" s="2">
        <v>45930</v>
      </c>
      <c r="B17" s="67" t="s">
        <v>27</v>
      </c>
      <c r="C17" s="67" t="s">
        <v>9</v>
      </c>
      <c r="D17" s="67" t="s">
        <v>15</v>
      </c>
      <c r="F17" s="71">
        <v>5000</v>
      </c>
      <c r="G17" s="72">
        <f>SUM(G16-F17)</f>
        <v>10453663</v>
      </c>
    </row>
  </sheetData>
  <mergeCells count="3">
    <mergeCell ref="A3:A4"/>
    <mergeCell ref="A8:A9"/>
    <mergeCell ref="A11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activeCell="B12" sqref="B12"/>
    </sheetView>
  </sheetViews>
  <sheetFormatPr defaultRowHeight="15" x14ac:dyDescent="0.25"/>
  <cols>
    <col min="1" max="1" width="10.7109375" style="68" bestFit="1" customWidth="1"/>
    <col min="2" max="2" width="25.7109375" style="68" bestFit="1" customWidth="1"/>
    <col min="3" max="3" width="7.7109375" style="68" bestFit="1" customWidth="1"/>
    <col min="4" max="4" width="11.5703125" style="68" bestFit="1" customWidth="1"/>
    <col min="5" max="7" width="16.5703125" style="68" bestFit="1" customWidth="1"/>
    <col min="8" max="8" width="14" style="68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66">
        <v>45931</v>
      </c>
      <c r="B2" s="27" t="s">
        <v>28</v>
      </c>
      <c r="C2" s="27" t="s">
        <v>9</v>
      </c>
      <c r="D2" s="27" t="s">
        <v>10</v>
      </c>
      <c r="E2" s="73">
        <v>10453663</v>
      </c>
      <c r="F2" s="27"/>
      <c r="G2" s="73">
        <v>10453663</v>
      </c>
      <c r="H2" s="27"/>
    </row>
    <row r="3" spans="1:8" x14ac:dyDescent="0.25">
      <c r="A3" s="66">
        <v>45933</v>
      </c>
      <c r="B3" s="27" t="s">
        <v>29</v>
      </c>
      <c r="C3" s="27">
        <v>4</v>
      </c>
      <c r="D3" s="27" t="s">
        <v>12</v>
      </c>
      <c r="E3" s="27"/>
      <c r="F3" s="73">
        <v>10350000</v>
      </c>
      <c r="G3" s="74">
        <f>SUM(G2-F3)</f>
        <v>103663</v>
      </c>
      <c r="H3" s="27"/>
    </row>
    <row r="4" spans="1:8" x14ac:dyDescent="0.25">
      <c r="A4" s="27"/>
      <c r="B4" s="27" t="s">
        <v>30</v>
      </c>
      <c r="C4" s="27">
        <v>2</v>
      </c>
      <c r="D4" s="27" t="s">
        <v>12</v>
      </c>
      <c r="E4" s="27"/>
      <c r="F4" s="73">
        <v>26224</v>
      </c>
      <c r="G4" s="74">
        <f>SUM(G3-F4)</f>
        <v>77439</v>
      </c>
      <c r="H4" s="27"/>
    </row>
    <row r="5" spans="1:8" x14ac:dyDescent="0.25">
      <c r="A5" s="66">
        <v>45942</v>
      </c>
      <c r="B5" s="27" t="s">
        <v>31</v>
      </c>
      <c r="C5" s="27">
        <v>1</v>
      </c>
      <c r="D5" s="27" t="s">
        <v>18</v>
      </c>
      <c r="E5" s="73">
        <v>3200000</v>
      </c>
      <c r="F5" s="27"/>
      <c r="G5" s="74">
        <f>SUM(G4+E5)</f>
        <v>3277439</v>
      </c>
      <c r="H5" s="27"/>
    </row>
    <row r="6" spans="1:8" x14ac:dyDescent="0.25">
      <c r="A6" s="27"/>
      <c r="B6" s="27" t="s">
        <v>32</v>
      </c>
      <c r="C6" s="27">
        <v>1</v>
      </c>
      <c r="D6" s="27" t="s">
        <v>18</v>
      </c>
      <c r="E6" s="73">
        <v>3000000</v>
      </c>
      <c r="F6" s="27"/>
      <c r="G6" s="74">
        <f>SUM(G5+E6)</f>
        <v>6277439</v>
      </c>
      <c r="H6" s="27"/>
    </row>
    <row r="7" spans="1:8" x14ac:dyDescent="0.25">
      <c r="A7" s="27"/>
      <c r="B7" s="27" t="s">
        <v>30</v>
      </c>
      <c r="C7" s="27">
        <v>1</v>
      </c>
      <c r="D7" s="27" t="s">
        <v>12</v>
      </c>
      <c r="E7" s="73"/>
      <c r="F7" s="73">
        <v>15499</v>
      </c>
      <c r="G7" s="74">
        <f>SUM(G6-F7)</f>
        <v>6261940</v>
      </c>
      <c r="H7" s="27"/>
    </row>
    <row r="8" spans="1:8" x14ac:dyDescent="0.25">
      <c r="A8" s="66">
        <v>45943</v>
      </c>
      <c r="B8" s="27" t="s">
        <v>33</v>
      </c>
      <c r="C8" s="27">
        <v>1</v>
      </c>
      <c r="D8" s="27" t="s">
        <v>18</v>
      </c>
      <c r="E8" s="73">
        <v>3100000</v>
      </c>
      <c r="F8" s="27"/>
      <c r="G8" s="74">
        <f>SUM(G7+E8)</f>
        <v>9361940</v>
      </c>
      <c r="H8" s="27"/>
    </row>
    <row r="9" spans="1:8" x14ac:dyDescent="0.25">
      <c r="A9" s="66">
        <v>45945</v>
      </c>
      <c r="B9" s="27" t="s">
        <v>34</v>
      </c>
      <c r="C9" s="27" t="s">
        <v>9</v>
      </c>
      <c r="D9" s="27" t="s">
        <v>10</v>
      </c>
      <c r="E9" s="73">
        <v>200000</v>
      </c>
      <c r="F9" s="27"/>
      <c r="G9" s="74">
        <f>SUM(G8+E9)</f>
        <v>9561940</v>
      </c>
      <c r="H9" s="27"/>
    </row>
    <row r="10" spans="1:8" x14ac:dyDescent="0.25">
      <c r="A10" s="90">
        <v>45946</v>
      </c>
      <c r="B10" s="27" t="s">
        <v>35</v>
      </c>
      <c r="C10" s="27" t="s">
        <v>9</v>
      </c>
      <c r="D10" s="27" t="s">
        <v>10</v>
      </c>
      <c r="E10" s="73">
        <v>427495</v>
      </c>
      <c r="F10" s="27"/>
      <c r="G10" s="74">
        <f>SUM(G9+E10)</f>
        <v>9989435</v>
      </c>
      <c r="H10" s="27"/>
    </row>
    <row r="11" spans="1:8" x14ac:dyDescent="0.25">
      <c r="A11" s="92"/>
      <c r="B11" s="27" t="s">
        <v>36</v>
      </c>
      <c r="C11" s="27" t="s">
        <v>9</v>
      </c>
      <c r="D11" s="27" t="s">
        <v>10</v>
      </c>
      <c r="E11" s="73">
        <v>800000</v>
      </c>
      <c r="F11" s="27"/>
      <c r="G11" s="74">
        <f>SUM(G10+E11)</f>
        <v>10789435</v>
      </c>
      <c r="H11" s="27"/>
    </row>
    <row r="12" spans="1:8" x14ac:dyDescent="0.25">
      <c r="A12" s="92"/>
      <c r="B12" s="27" t="s">
        <v>37</v>
      </c>
      <c r="C12" s="27" t="s">
        <v>9</v>
      </c>
      <c r="D12" s="27" t="s">
        <v>10</v>
      </c>
      <c r="E12" s="73">
        <v>800000</v>
      </c>
      <c r="F12" s="27"/>
      <c r="G12" s="74">
        <f>SUM(G11+E12)</f>
        <v>11589435</v>
      </c>
      <c r="H12" s="27"/>
    </row>
    <row r="13" spans="1:8" x14ac:dyDescent="0.25">
      <c r="A13" s="92"/>
      <c r="B13" s="27" t="s">
        <v>38</v>
      </c>
      <c r="C13" s="27">
        <v>4</v>
      </c>
      <c r="D13" s="27" t="s">
        <v>39</v>
      </c>
      <c r="E13" s="73"/>
      <c r="F13" s="73">
        <v>11250000</v>
      </c>
      <c r="G13" s="74">
        <f>SUM(G12-F13)</f>
        <v>339435</v>
      </c>
      <c r="H13" s="27"/>
    </row>
    <row r="14" spans="1:8" x14ac:dyDescent="0.25">
      <c r="A14" s="92"/>
      <c r="B14" s="27" t="s">
        <v>30</v>
      </c>
      <c r="C14" s="27">
        <v>4</v>
      </c>
      <c r="D14" s="27" t="s">
        <v>12</v>
      </c>
      <c r="E14" s="73"/>
      <c r="F14" s="73">
        <v>61800</v>
      </c>
      <c r="G14" s="74">
        <f>SUM(G13-F14)</f>
        <v>277635</v>
      </c>
      <c r="H14" s="27"/>
    </row>
    <row r="15" spans="1:8" x14ac:dyDescent="0.25">
      <c r="A15" s="66">
        <v>45948</v>
      </c>
      <c r="B15" s="27" t="s">
        <v>40</v>
      </c>
      <c r="C15" s="27" t="s">
        <v>9</v>
      </c>
      <c r="D15" s="27" t="s">
        <v>10</v>
      </c>
      <c r="E15" s="73">
        <v>8000000</v>
      </c>
      <c r="F15" s="27"/>
      <c r="G15" s="74">
        <f>SUM(G14+E15)</f>
        <v>8277635</v>
      </c>
      <c r="H15" s="27"/>
    </row>
    <row r="16" spans="1:8" x14ac:dyDescent="0.25">
      <c r="A16" s="90">
        <v>45950</v>
      </c>
      <c r="B16" s="27" t="s">
        <v>41</v>
      </c>
      <c r="C16" s="27">
        <v>1</v>
      </c>
      <c r="D16" s="27" t="s">
        <v>12</v>
      </c>
      <c r="E16" s="27"/>
      <c r="F16" s="73">
        <v>32600</v>
      </c>
      <c r="G16" s="74">
        <f>SUM(G15-F16)</f>
        <v>8245035</v>
      </c>
      <c r="H16" s="27"/>
    </row>
    <row r="17" spans="1:8" x14ac:dyDescent="0.25">
      <c r="A17" s="92"/>
      <c r="B17" s="27" t="s">
        <v>42</v>
      </c>
      <c r="C17" s="27" t="s">
        <v>9</v>
      </c>
      <c r="D17" s="27" t="s">
        <v>15</v>
      </c>
      <c r="E17" s="27"/>
      <c r="F17" s="73">
        <v>46302</v>
      </c>
      <c r="G17" s="74">
        <f>SUM(G16-F17)</f>
        <v>8198733</v>
      </c>
      <c r="H17" s="27"/>
    </row>
    <row r="18" spans="1:8" x14ac:dyDescent="0.25">
      <c r="A18" s="66">
        <v>45955</v>
      </c>
      <c r="B18" s="27" t="s">
        <v>43</v>
      </c>
      <c r="C18" s="27"/>
      <c r="D18" s="27" t="s">
        <v>15</v>
      </c>
      <c r="E18" s="27"/>
      <c r="F18" s="73">
        <v>3500</v>
      </c>
      <c r="G18" s="74">
        <f>SUM(G17-F18)</f>
        <v>8195233</v>
      </c>
      <c r="H18" s="27"/>
    </row>
    <row r="19" spans="1:8" x14ac:dyDescent="0.25">
      <c r="A19" s="90">
        <v>45960</v>
      </c>
      <c r="B19" s="27" t="s">
        <v>44</v>
      </c>
      <c r="C19" s="27" t="s">
        <v>9</v>
      </c>
      <c r="D19" s="27" t="s">
        <v>15</v>
      </c>
      <c r="E19" s="27"/>
      <c r="F19" s="73">
        <v>102500</v>
      </c>
      <c r="G19" s="74">
        <f>SUM(G18-F19)</f>
        <v>8092733</v>
      </c>
      <c r="H19" s="27"/>
    </row>
    <row r="20" spans="1:8" x14ac:dyDescent="0.25">
      <c r="A20" s="92"/>
      <c r="B20" s="27" t="s">
        <v>45</v>
      </c>
      <c r="C20" s="27">
        <v>1</v>
      </c>
      <c r="D20" s="27" t="s">
        <v>18</v>
      </c>
      <c r="E20" s="73">
        <v>3100000</v>
      </c>
      <c r="F20" s="27"/>
      <c r="G20" s="74">
        <f>SUM(G19+E20)</f>
        <v>11192733</v>
      </c>
      <c r="H20" s="27"/>
    </row>
    <row r="21" spans="1:8" x14ac:dyDescent="0.25">
      <c r="A21" s="27" t="s">
        <v>46</v>
      </c>
      <c r="B21" s="27" t="s">
        <v>43</v>
      </c>
      <c r="C21" s="27" t="s">
        <v>9</v>
      </c>
      <c r="D21" s="27" t="s">
        <v>15</v>
      </c>
      <c r="E21" s="27"/>
      <c r="F21" s="73">
        <v>5000</v>
      </c>
      <c r="G21" s="74">
        <f>SUM(G20-F21)</f>
        <v>11187733</v>
      </c>
      <c r="H21" s="27"/>
    </row>
  </sheetData>
  <mergeCells count="3">
    <mergeCell ref="A10:A14"/>
    <mergeCell ref="A19:A20"/>
    <mergeCell ref="A16:A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selection activeCell="A5" sqref="A5"/>
    </sheetView>
  </sheetViews>
  <sheetFormatPr defaultRowHeight="15" x14ac:dyDescent="0.25"/>
  <cols>
    <col min="1" max="1" width="10.7109375" style="68" bestFit="1" customWidth="1"/>
    <col min="2" max="2" width="26.140625" style="68" bestFit="1" customWidth="1"/>
    <col min="4" max="4" width="11.5703125" style="68" bestFit="1" customWidth="1"/>
    <col min="5" max="7" width="16.5703125" style="68" bestFit="1" customWidth="1"/>
    <col min="8" max="8" width="14" style="68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90">
        <v>45962</v>
      </c>
      <c r="B2" s="27" t="s">
        <v>28</v>
      </c>
      <c r="C2" s="27" t="s">
        <v>9</v>
      </c>
      <c r="D2" s="27" t="s">
        <v>10</v>
      </c>
      <c r="E2" s="73">
        <v>11187733</v>
      </c>
      <c r="F2" s="27"/>
      <c r="G2" s="73">
        <v>11187733</v>
      </c>
      <c r="H2" s="27"/>
    </row>
    <row r="3" spans="1:8" x14ac:dyDescent="0.25">
      <c r="A3" s="92"/>
      <c r="B3" s="27" t="s">
        <v>47</v>
      </c>
      <c r="C3" s="27" t="s">
        <v>9</v>
      </c>
      <c r="D3" s="27" t="s">
        <v>10</v>
      </c>
      <c r="E3" s="73">
        <v>102500</v>
      </c>
      <c r="F3" s="27"/>
      <c r="G3" s="74">
        <f>SUM(G2+E3)</f>
        <v>11290233</v>
      </c>
      <c r="H3" s="27"/>
    </row>
    <row r="4" spans="1:8" x14ac:dyDescent="0.25">
      <c r="A4" s="66">
        <v>45963</v>
      </c>
      <c r="B4" s="27" t="s">
        <v>48</v>
      </c>
      <c r="C4" s="27">
        <v>1</v>
      </c>
      <c r="D4" s="27" t="s">
        <v>18</v>
      </c>
      <c r="E4" s="73">
        <v>2750000</v>
      </c>
      <c r="F4" s="27"/>
      <c r="G4" s="74">
        <f>SUM(G3+E4)</f>
        <v>14040233</v>
      </c>
      <c r="H4" s="27"/>
    </row>
    <row r="5" spans="1:8" x14ac:dyDescent="0.25">
      <c r="A5" s="66">
        <v>45970</v>
      </c>
      <c r="B5" s="27" t="s">
        <v>49</v>
      </c>
      <c r="C5" s="27">
        <v>1</v>
      </c>
      <c r="D5" s="27" t="s">
        <v>18</v>
      </c>
      <c r="E5" s="73">
        <v>3481505</v>
      </c>
      <c r="F5" s="27"/>
      <c r="G5" s="74">
        <f>SUM(G4+E5)</f>
        <v>17521738</v>
      </c>
      <c r="H5" s="27"/>
    </row>
    <row r="6" spans="1:8" x14ac:dyDescent="0.25">
      <c r="A6" s="90">
        <v>45971</v>
      </c>
      <c r="B6" s="27" t="s">
        <v>50</v>
      </c>
      <c r="C6" s="67" t="s">
        <v>9</v>
      </c>
      <c r="D6" s="27" t="s">
        <v>51</v>
      </c>
      <c r="E6" s="73"/>
      <c r="F6" s="75">
        <v>25200</v>
      </c>
      <c r="G6" s="76">
        <f>SUM(G5-F6)</f>
        <v>17496538</v>
      </c>
    </row>
    <row r="7" spans="1:8" x14ac:dyDescent="0.25">
      <c r="A7" s="92"/>
      <c r="B7" s="27" t="s">
        <v>45</v>
      </c>
      <c r="C7" s="67">
        <v>1</v>
      </c>
      <c r="D7" s="27" t="s">
        <v>18</v>
      </c>
      <c r="E7" s="73">
        <v>2900000</v>
      </c>
      <c r="G7" s="76">
        <f>SUM(G6+E7)</f>
        <v>20396538</v>
      </c>
    </row>
    <row r="8" spans="1:8" x14ac:dyDescent="0.25">
      <c r="A8" s="90">
        <v>45975</v>
      </c>
      <c r="B8" s="27" t="s">
        <v>52</v>
      </c>
      <c r="C8" s="27">
        <v>2</v>
      </c>
      <c r="D8" s="27" t="s">
        <v>12</v>
      </c>
      <c r="F8" s="75">
        <v>13701500</v>
      </c>
      <c r="G8" s="76">
        <f>SUM(G7-F8)</f>
        <v>6695038</v>
      </c>
    </row>
    <row r="9" spans="1:8" x14ac:dyDescent="0.25">
      <c r="A9" s="92"/>
      <c r="B9" s="27" t="s">
        <v>53</v>
      </c>
      <c r="C9" s="27">
        <v>1</v>
      </c>
      <c r="D9" s="27" t="s">
        <v>12</v>
      </c>
      <c r="F9" s="75">
        <v>32899</v>
      </c>
      <c r="G9" s="76">
        <f>SUM(G8-F9)</f>
        <v>6662139</v>
      </c>
    </row>
    <row r="10" spans="1:8" x14ac:dyDescent="0.25">
      <c r="A10" s="92"/>
      <c r="B10" s="27" t="s">
        <v>53</v>
      </c>
      <c r="C10" s="27">
        <v>1</v>
      </c>
      <c r="D10" s="27" t="s">
        <v>12</v>
      </c>
      <c r="F10" s="75">
        <v>30800</v>
      </c>
      <c r="G10" s="76">
        <f>SUM(G9-F10)</f>
        <v>6631339</v>
      </c>
    </row>
    <row r="11" spans="1:8" x14ac:dyDescent="0.25">
      <c r="A11" s="4">
        <v>45982</v>
      </c>
      <c r="B11" s="27" t="s">
        <v>52</v>
      </c>
      <c r="C11" s="27">
        <v>1</v>
      </c>
      <c r="D11" s="27" t="s">
        <v>18</v>
      </c>
      <c r="E11" s="75">
        <v>7250000</v>
      </c>
      <c r="G11" s="76">
        <f>SUM(G10+E11)</f>
        <v>13881339</v>
      </c>
    </row>
    <row r="12" spans="1:8" x14ac:dyDescent="0.25">
      <c r="A12" s="90">
        <v>45985</v>
      </c>
      <c r="B12" s="27" t="s">
        <v>54</v>
      </c>
      <c r="C12" s="27">
        <v>1</v>
      </c>
      <c r="D12" s="27" t="s">
        <v>12</v>
      </c>
      <c r="F12" s="75">
        <v>3701500</v>
      </c>
      <c r="G12" s="76">
        <f t="shared" ref="G12:G17" si="0">SUM(G11-F12)</f>
        <v>10179839</v>
      </c>
    </row>
    <row r="13" spans="1:8" x14ac:dyDescent="0.25">
      <c r="A13" s="92"/>
      <c r="B13" s="27" t="s">
        <v>55</v>
      </c>
      <c r="D13" s="27" t="s">
        <v>51</v>
      </c>
      <c r="F13" s="75">
        <v>36308</v>
      </c>
      <c r="G13" s="76">
        <f t="shared" si="0"/>
        <v>10143531</v>
      </c>
    </row>
    <row r="14" spans="1:8" x14ac:dyDescent="0.25">
      <c r="A14" s="92"/>
      <c r="B14" s="27" t="s">
        <v>53</v>
      </c>
      <c r="C14" s="27">
        <v>1</v>
      </c>
      <c r="D14" s="27" t="s">
        <v>12</v>
      </c>
      <c r="F14" s="75">
        <v>44099</v>
      </c>
      <c r="G14" s="76">
        <f t="shared" si="0"/>
        <v>10099432</v>
      </c>
    </row>
    <row r="15" spans="1:8" x14ac:dyDescent="0.25">
      <c r="A15" s="4">
        <v>45986</v>
      </c>
      <c r="B15" s="27" t="s">
        <v>56</v>
      </c>
      <c r="D15" s="27" t="s">
        <v>56</v>
      </c>
      <c r="F15" s="75">
        <v>269599</v>
      </c>
      <c r="G15" s="76">
        <f t="shared" si="0"/>
        <v>9829833</v>
      </c>
    </row>
    <row r="16" spans="1:8" x14ac:dyDescent="0.25">
      <c r="A16" s="90">
        <v>45987</v>
      </c>
      <c r="B16" s="27" t="s">
        <v>53</v>
      </c>
      <c r="C16" s="27">
        <v>1</v>
      </c>
      <c r="D16" s="27" t="s">
        <v>12</v>
      </c>
      <c r="F16" s="75">
        <v>44099</v>
      </c>
      <c r="G16" s="76">
        <f t="shared" si="0"/>
        <v>9785734</v>
      </c>
    </row>
    <row r="17" spans="1:7" x14ac:dyDescent="0.25">
      <c r="A17" s="92"/>
      <c r="B17" s="27" t="s">
        <v>57</v>
      </c>
      <c r="D17" s="27" t="s">
        <v>10</v>
      </c>
      <c r="F17" s="75">
        <v>3500</v>
      </c>
      <c r="G17" s="76">
        <f t="shared" si="0"/>
        <v>9782234</v>
      </c>
    </row>
    <row r="18" spans="1:7" x14ac:dyDescent="0.25">
      <c r="A18" s="92"/>
      <c r="B18" s="27" t="s">
        <v>58</v>
      </c>
      <c r="C18" s="67">
        <v>1</v>
      </c>
      <c r="D18" s="27" t="s">
        <v>18</v>
      </c>
      <c r="E18" s="75">
        <v>3700000</v>
      </c>
      <c r="G18" s="76">
        <f>SUM(G17+E18)</f>
        <v>13482234</v>
      </c>
    </row>
    <row r="19" spans="1:7" x14ac:dyDescent="0.25">
      <c r="A19" s="92"/>
      <c r="B19" s="27" t="s">
        <v>59</v>
      </c>
      <c r="C19" s="67">
        <v>1</v>
      </c>
      <c r="D19" s="27" t="s">
        <v>12</v>
      </c>
      <c r="F19" s="75">
        <v>8350000</v>
      </c>
      <c r="G19" s="76">
        <f>SUM(G18-F19)</f>
        <v>5132234</v>
      </c>
    </row>
    <row r="20" spans="1:7" x14ac:dyDescent="0.25">
      <c r="A20" s="92"/>
      <c r="B20" s="27" t="s">
        <v>57</v>
      </c>
      <c r="D20" s="27" t="s">
        <v>10</v>
      </c>
      <c r="F20" s="75">
        <v>1500</v>
      </c>
      <c r="G20" s="76">
        <f>SUM(G19-F20)</f>
        <v>5130734</v>
      </c>
    </row>
    <row r="21" spans="1:7" x14ac:dyDescent="0.25">
      <c r="A21" s="4">
        <v>45991</v>
      </c>
      <c r="B21" s="27" t="s">
        <v>57</v>
      </c>
      <c r="D21" s="27" t="s">
        <v>10</v>
      </c>
      <c r="F21" s="75">
        <v>5000</v>
      </c>
      <c r="G21" s="76">
        <f>SUM(G20-F21)</f>
        <v>5125734</v>
      </c>
    </row>
  </sheetData>
  <mergeCells count="5">
    <mergeCell ref="A12:A14"/>
    <mergeCell ref="A8:A10"/>
    <mergeCell ref="A16:A20"/>
    <mergeCell ref="A2:A3"/>
    <mergeCell ref="A6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workbookViewId="0">
      <selection activeCell="D27" sqref="D27"/>
    </sheetView>
  </sheetViews>
  <sheetFormatPr defaultRowHeight="15" x14ac:dyDescent="0.25"/>
  <cols>
    <col min="1" max="1" width="10.7109375" style="68" bestFit="1" customWidth="1"/>
    <col min="2" max="2" width="26.140625" style="68" bestFit="1" customWidth="1"/>
    <col min="4" max="4" width="11.5703125" style="68" bestFit="1" customWidth="1"/>
    <col min="5" max="5" width="15.5703125" style="68" bestFit="1" customWidth="1"/>
    <col min="6" max="7" width="16.5703125" style="68" bestFit="1" customWidth="1"/>
    <col min="8" max="8" width="14" style="68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90">
        <v>45992</v>
      </c>
      <c r="B2" s="67" t="s">
        <v>28</v>
      </c>
      <c r="C2" s="67" t="s">
        <v>9</v>
      </c>
      <c r="D2" s="67" t="s">
        <v>10</v>
      </c>
      <c r="E2" s="71">
        <v>5125734</v>
      </c>
      <c r="F2" s="71"/>
      <c r="G2" s="71">
        <v>5125734</v>
      </c>
      <c r="H2" s="67"/>
    </row>
    <row r="3" spans="1:8" x14ac:dyDescent="0.25">
      <c r="A3" s="92"/>
      <c r="B3" s="67" t="s">
        <v>60</v>
      </c>
      <c r="C3" s="67">
        <v>1</v>
      </c>
      <c r="D3" s="67" t="s">
        <v>18</v>
      </c>
      <c r="E3" s="71">
        <v>7200000</v>
      </c>
      <c r="F3" s="71"/>
      <c r="G3" s="72">
        <f>SUM(G2+E3)</f>
        <v>12325734</v>
      </c>
      <c r="H3" s="67"/>
    </row>
    <row r="4" spans="1:8" x14ac:dyDescent="0.25">
      <c r="A4" s="90">
        <v>45993</v>
      </c>
      <c r="B4" s="67" t="s">
        <v>53</v>
      </c>
      <c r="C4" s="67">
        <v>2</v>
      </c>
      <c r="D4" s="67" t="s">
        <v>12</v>
      </c>
      <c r="E4" s="71"/>
      <c r="F4" s="71">
        <v>83898</v>
      </c>
      <c r="G4" s="72">
        <f>SUM(G3-F4)</f>
        <v>12241836</v>
      </c>
      <c r="H4" s="67"/>
    </row>
    <row r="5" spans="1:8" x14ac:dyDescent="0.25">
      <c r="A5" s="92"/>
      <c r="B5" s="67" t="s">
        <v>60</v>
      </c>
      <c r="C5" s="67">
        <v>1</v>
      </c>
      <c r="D5" s="67" t="s">
        <v>12</v>
      </c>
      <c r="E5" s="71"/>
      <c r="F5" s="71">
        <v>6650000</v>
      </c>
      <c r="G5" s="72">
        <f>SUM(G4-F5)</f>
        <v>5591836</v>
      </c>
      <c r="H5" s="67"/>
    </row>
    <row r="6" spans="1:8" x14ac:dyDescent="0.25">
      <c r="A6" s="92"/>
      <c r="B6" s="67" t="s">
        <v>61</v>
      </c>
      <c r="C6" s="67" t="s">
        <v>9</v>
      </c>
      <c r="D6" s="67" t="s">
        <v>10</v>
      </c>
      <c r="E6" s="71"/>
      <c r="F6" s="71">
        <v>1500</v>
      </c>
      <c r="G6" s="72">
        <f>SUM(G5-F6)</f>
        <v>5590336</v>
      </c>
      <c r="H6" s="67"/>
    </row>
    <row r="7" spans="1:8" x14ac:dyDescent="0.25">
      <c r="A7" s="92"/>
      <c r="B7" s="27" t="s">
        <v>59</v>
      </c>
      <c r="C7" s="67">
        <v>1</v>
      </c>
      <c r="D7" s="67" t="s">
        <v>18</v>
      </c>
      <c r="E7" s="71">
        <v>9100000</v>
      </c>
      <c r="F7" s="71"/>
      <c r="G7" s="72">
        <f>SUM(G6+E7)</f>
        <v>14690336</v>
      </c>
      <c r="H7" s="67"/>
    </row>
    <row r="8" spans="1:8" x14ac:dyDescent="0.25">
      <c r="A8" s="2">
        <v>45995</v>
      </c>
      <c r="B8" s="67" t="s">
        <v>62</v>
      </c>
      <c r="C8" s="67">
        <v>1</v>
      </c>
      <c r="D8" s="67" t="s">
        <v>10</v>
      </c>
      <c r="E8" s="71"/>
      <c r="F8" s="71">
        <v>1702500</v>
      </c>
      <c r="G8" s="72">
        <f>SUM(G7-F8)</f>
        <v>12987836</v>
      </c>
      <c r="H8" s="67"/>
    </row>
    <row r="9" spans="1:8" x14ac:dyDescent="0.25">
      <c r="A9" s="90">
        <v>45996</v>
      </c>
      <c r="B9" s="67" t="s">
        <v>63</v>
      </c>
      <c r="C9" s="67">
        <v>1</v>
      </c>
      <c r="D9" s="67" t="s">
        <v>12</v>
      </c>
      <c r="E9" s="71"/>
      <c r="F9" s="71">
        <v>6850000</v>
      </c>
      <c r="G9" s="72">
        <f>SUM(G8-F9)</f>
        <v>6137836</v>
      </c>
      <c r="H9" s="67"/>
    </row>
    <row r="10" spans="1:8" x14ac:dyDescent="0.25">
      <c r="A10" s="92"/>
      <c r="B10" s="67" t="s">
        <v>61</v>
      </c>
      <c r="C10" s="67" t="s">
        <v>9</v>
      </c>
      <c r="D10" s="67" t="s">
        <v>10</v>
      </c>
      <c r="E10" s="71"/>
      <c r="F10" s="71">
        <v>1500</v>
      </c>
      <c r="G10" s="72">
        <f>SUM(G9-F10)</f>
        <v>6136336</v>
      </c>
      <c r="H10" s="67"/>
    </row>
    <row r="11" spans="1:8" x14ac:dyDescent="0.25">
      <c r="A11" s="2">
        <v>45997</v>
      </c>
      <c r="B11" s="67" t="s">
        <v>60</v>
      </c>
      <c r="C11" s="67">
        <v>1</v>
      </c>
      <c r="D11" s="67" t="s">
        <v>18</v>
      </c>
      <c r="E11" s="71">
        <v>7100000</v>
      </c>
      <c r="F11" s="71"/>
      <c r="G11" s="72">
        <f>SUM(G10+E11)</f>
        <v>13236336</v>
      </c>
      <c r="H11" s="67"/>
    </row>
    <row r="12" spans="1:8" x14ac:dyDescent="0.25">
      <c r="A12" s="90">
        <v>46001</v>
      </c>
      <c r="B12" s="67" t="s">
        <v>60</v>
      </c>
      <c r="C12" s="67">
        <v>1</v>
      </c>
      <c r="D12" s="67" t="s">
        <v>12</v>
      </c>
      <c r="E12" s="71"/>
      <c r="F12" s="71">
        <v>6700000</v>
      </c>
      <c r="G12" s="72">
        <f>SUM(G11-F12)</f>
        <v>6536336</v>
      </c>
      <c r="H12" s="67"/>
    </row>
    <row r="13" spans="1:8" x14ac:dyDescent="0.25">
      <c r="A13" s="92"/>
      <c r="B13" s="67" t="s">
        <v>61</v>
      </c>
      <c r="C13" s="67" t="s">
        <v>9</v>
      </c>
      <c r="D13" s="67" t="s">
        <v>10</v>
      </c>
      <c r="E13" s="71"/>
      <c r="F13" s="71">
        <v>2500</v>
      </c>
      <c r="G13" s="72">
        <f>SUM(G12-F13)</f>
        <v>6533836</v>
      </c>
      <c r="H13" s="67"/>
    </row>
    <row r="14" spans="1:8" x14ac:dyDescent="0.25">
      <c r="A14" s="2">
        <v>46005</v>
      </c>
      <c r="B14" s="67" t="s">
        <v>64</v>
      </c>
      <c r="C14" s="67">
        <v>1</v>
      </c>
      <c r="D14" s="67" t="s">
        <v>18</v>
      </c>
      <c r="E14" s="71">
        <v>7200000</v>
      </c>
      <c r="F14" s="71"/>
      <c r="G14" s="72">
        <f>SUM(G13+E14)</f>
        <v>13733836</v>
      </c>
      <c r="H14" s="67"/>
    </row>
    <row r="15" spans="1:8" x14ac:dyDescent="0.25">
      <c r="A15" s="90">
        <v>46006</v>
      </c>
      <c r="B15" s="67" t="s">
        <v>53</v>
      </c>
      <c r="C15" s="67">
        <v>2</v>
      </c>
      <c r="D15" s="67" t="s">
        <v>12</v>
      </c>
      <c r="E15" s="71"/>
      <c r="F15" s="71">
        <v>90298</v>
      </c>
      <c r="G15" s="72">
        <f>SUM(G14-F15)</f>
        <v>13643538</v>
      </c>
      <c r="H15" s="67"/>
    </row>
    <row r="16" spans="1:8" x14ac:dyDescent="0.25">
      <c r="A16" s="92"/>
      <c r="B16" s="67" t="s">
        <v>65</v>
      </c>
      <c r="C16" s="67">
        <v>1</v>
      </c>
      <c r="D16" s="67" t="s">
        <v>12</v>
      </c>
      <c r="E16" s="71"/>
      <c r="F16" s="71">
        <v>6650000</v>
      </c>
      <c r="G16" s="72">
        <f>SUM(G15-F16)</f>
        <v>6993538</v>
      </c>
      <c r="H16" s="67"/>
    </row>
    <row r="17" spans="1:8" x14ac:dyDescent="0.25">
      <c r="A17" s="92"/>
      <c r="B17" s="67" t="s">
        <v>61</v>
      </c>
      <c r="C17" s="67" t="s">
        <v>9</v>
      </c>
      <c r="D17" s="67" t="s">
        <v>10</v>
      </c>
      <c r="E17" s="71"/>
      <c r="F17" s="71">
        <v>1500</v>
      </c>
      <c r="G17" s="72">
        <f>SUM(G16-F17)</f>
        <v>6992038</v>
      </c>
      <c r="H17" s="67"/>
    </row>
    <row r="18" spans="1:8" x14ac:dyDescent="0.25">
      <c r="A18" s="2">
        <v>46008</v>
      </c>
      <c r="B18" s="67" t="s">
        <v>60</v>
      </c>
      <c r="C18" s="67">
        <v>1</v>
      </c>
      <c r="D18" s="67" t="s">
        <v>18</v>
      </c>
      <c r="E18" s="71">
        <v>7100000</v>
      </c>
      <c r="F18" s="71"/>
      <c r="G18" s="72">
        <f>SUM(G17+E18)</f>
        <v>14092038</v>
      </c>
      <c r="H18" s="67"/>
    </row>
    <row r="19" spans="1:8" x14ac:dyDescent="0.25">
      <c r="A19" s="90">
        <v>46010</v>
      </c>
      <c r="B19" s="67" t="s">
        <v>66</v>
      </c>
      <c r="C19" s="67">
        <v>1</v>
      </c>
      <c r="D19" s="67" t="s">
        <v>12</v>
      </c>
      <c r="E19" s="71"/>
      <c r="F19" s="71">
        <v>12225000</v>
      </c>
      <c r="G19" s="72">
        <f>SUM(G18-F19)</f>
        <v>1867038</v>
      </c>
      <c r="H19" s="67"/>
    </row>
    <row r="20" spans="1:8" x14ac:dyDescent="0.25">
      <c r="A20" s="92"/>
      <c r="B20" s="67" t="s">
        <v>61</v>
      </c>
      <c r="C20" s="67" t="s">
        <v>9</v>
      </c>
      <c r="D20" s="67" t="s">
        <v>10</v>
      </c>
      <c r="E20" s="71"/>
      <c r="F20" s="71">
        <v>1500</v>
      </c>
      <c r="G20" s="72">
        <f>SUM(G19-F20)</f>
        <v>1865538</v>
      </c>
      <c r="H20" s="67"/>
    </row>
    <row r="21" spans="1:8" x14ac:dyDescent="0.25">
      <c r="A21" s="92"/>
      <c r="B21" s="67" t="s">
        <v>53</v>
      </c>
      <c r="C21" s="67">
        <v>1</v>
      </c>
      <c r="D21" s="67" t="s">
        <v>12</v>
      </c>
      <c r="E21" s="71"/>
      <c r="F21" s="71">
        <v>50517</v>
      </c>
      <c r="G21" s="72">
        <f>SUM(G20-F21)</f>
        <v>1815021</v>
      </c>
      <c r="H21" s="67"/>
    </row>
    <row r="22" spans="1:8" x14ac:dyDescent="0.25">
      <c r="A22" s="2">
        <v>45950</v>
      </c>
      <c r="B22" s="67" t="s">
        <v>67</v>
      </c>
      <c r="C22" s="67" t="s">
        <v>9</v>
      </c>
      <c r="D22" s="67" t="s">
        <v>18</v>
      </c>
      <c r="E22" s="71">
        <v>1700000</v>
      </c>
      <c r="F22" s="67"/>
      <c r="G22" s="72">
        <f>SUM(G21+E22)</f>
        <v>3515021</v>
      </c>
      <c r="H22" s="67"/>
    </row>
    <row r="23" spans="1:8" x14ac:dyDescent="0.25">
      <c r="A23" s="2">
        <v>46014</v>
      </c>
      <c r="B23" s="67" t="s">
        <v>68</v>
      </c>
      <c r="C23" s="67" t="s">
        <v>9</v>
      </c>
      <c r="D23" s="67" t="s">
        <v>10</v>
      </c>
      <c r="E23" s="67"/>
      <c r="F23" s="71">
        <v>12000</v>
      </c>
      <c r="G23" s="72">
        <f>SUM(G22-F23)</f>
        <v>3503021</v>
      </c>
      <c r="H23" s="67"/>
    </row>
    <row r="24" spans="1:8" x14ac:dyDescent="0.25">
      <c r="A24" s="2">
        <v>46015</v>
      </c>
      <c r="B24" s="67" t="s">
        <v>69</v>
      </c>
      <c r="C24" s="67" t="s">
        <v>9</v>
      </c>
      <c r="D24" s="67" t="s">
        <v>10</v>
      </c>
      <c r="E24" s="71">
        <v>5000000</v>
      </c>
      <c r="F24" s="67"/>
      <c r="G24" s="72">
        <f>SUM(G23+E24)</f>
        <v>8503021</v>
      </c>
      <c r="H24" s="67"/>
    </row>
    <row r="25" spans="1:8" x14ac:dyDescent="0.25">
      <c r="A25" s="90">
        <v>46016</v>
      </c>
      <c r="B25" s="67" t="s">
        <v>56</v>
      </c>
      <c r="C25" s="67" t="s">
        <v>9</v>
      </c>
      <c r="D25" s="67" t="s">
        <v>56</v>
      </c>
      <c r="F25" s="71">
        <v>160000</v>
      </c>
      <c r="G25" s="76">
        <f>SUM(G24-F25)</f>
        <v>8343021</v>
      </c>
      <c r="H25" s="67"/>
    </row>
    <row r="26" spans="1:8" x14ac:dyDescent="0.25">
      <c r="A26" s="92"/>
      <c r="B26" s="67" t="s">
        <v>61</v>
      </c>
      <c r="C26" s="67" t="s">
        <v>9</v>
      </c>
      <c r="D26" s="67" t="s">
        <v>10</v>
      </c>
      <c r="F26" s="71">
        <v>2500</v>
      </c>
      <c r="G26" s="76">
        <f>SUM(G25-F26)</f>
        <v>8340521</v>
      </c>
    </row>
    <row r="27" spans="1:8" x14ac:dyDescent="0.25">
      <c r="A27" s="90">
        <v>46017</v>
      </c>
      <c r="B27" s="67" t="s">
        <v>65</v>
      </c>
      <c r="C27" s="67">
        <v>1</v>
      </c>
      <c r="D27" s="67" t="s">
        <v>18</v>
      </c>
      <c r="E27" s="75">
        <v>7100000</v>
      </c>
      <c r="G27" s="76">
        <f>SUM(G26+E27)</f>
        <v>15440521</v>
      </c>
    </row>
    <row r="28" spans="1:8" x14ac:dyDescent="0.25">
      <c r="A28" s="92"/>
      <c r="B28" s="67" t="s">
        <v>61</v>
      </c>
      <c r="C28" s="67" t="s">
        <v>9</v>
      </c>
      <c r="D28" s="67" t="s">
        <v>10</v>
      </c>
      <c r="F28" s="71">
        <v>3500</v>
      </c>
      <c r="G28" s="76">
        <f t="shared" ref="G28:G34" si="0">SUM(G27-F28)</f>
        <v>15437021</v>
      </c>
    </row>
    <row r="29" spans="1:8" x14ac:dyDescent="0.25">
      <c r="A29" s="90">
        <v>46018</v>
      </c>
      <c r="B29" s="67" t="s">
        <v>60</v>
      </c>
      <c r="C29" s="67">
        <v>1</v>
      </c>
      <c r="D29" s="67" t="s">
        <v>12</v>
      </c>
      <c r="F29" s="71">
        <v>6650000</v>
      </c>
      <c r="G29" s="76">
        <f t="shared" si="0"/>
        <v>8787021</v>
      </c>
    </row>
    <row r="30" spans="1:8" x14ac:dyDescent="0.25">
      <c r="A30" s="92"/>
      <c r="B30" s="67" t="s">
        <v>64</v>
      </c>
      <c r="C30" s="67">
        <v>1</v>
      </c>
      <c r="D30" s="67" t="s">
        <v>12</v>
      </c>
      <c r="F30" s="71">
        <v>6650000</v>
      </c>
      <c r="G30" s="76">
        <f t="shared" si="0"/>
        <v>2137021</v>
      </c>
    </row>
    <row r="31" spans="1:8" x14ac:dyDescent="0.25">
      <c r="A31" s="92"/>
      <c r="B31" s="67" t="s">
        <v>61</v>
      </c>
      <c r="C31" s="67" t="s">
        <v>9</v>
      </c>
      <c r="D31" s="67" t="s">
        <v>10</v>
      </c>
      <c r="F31" s="71">
        <v>1500</v>
      </c>
      <c r="G31" s="76">
        <f t="shared" si="0"/>
        <v>2135521</v>
      </c>
    </row>
    <row r="32" spans="1:8" x14ac:dyDescent="0.25">
      <c r="A32" s="92"/>
      <c r="B32" s="67" t="s">
        <v>53</v>
      </c>
      <c r="C32" s="67">
        <v>2</v>
      </c>
      <c r="D32" s="67" t="s">
        <v>12</v>
      </c>
      <c r="F32" s="71">
        <v>83998</v>
      </c>
      <c r="G32" s="76">
        <f t="shared" si="0"/>
        <v>2051523</v>
      </c>
    </row>
    <row r="33" spans="1:7" x14ac:dyDescent="0.25">
      <c r="A33" s="4">
        <v>46020</v>
      </c>
      <c r="B33" s="67" t="s">
        <v>53</v>
      </c>
      <c r="C33" s="67">
        <v>1</v>
      </c>
      <c r="D33" s="67" t="s">
        <v>12</v>
      </c>
      <c r="F33" s="71">
        <v>47800</v>
      </c>
      <c r="G33" s="76">
        <f t="shared" si="0"/>
        <v>2003723</v>
      </c>
    </row>
    <row r="34" spans="1:7" x14ac:dyDescent="0.25">
      <c r="A34" s="4">
        <v>46022</v>
      </c>
      <c r="B34" s="67" t="s">
        <v>61</v>
      </c>
      <c r="C34" s="67" t="s">
        <v>9</v>
      </c>
      <c r="D34" s="67" t="s">
        <v>10</v>
      </c>
      <c r="F34" s="71">
        <v>5000</v>
      </c>
      <c r="G34" s="76">
        <f t="shared" si="0"/>
        <v>1998723</v>
      </c>
    </row>
  </sheetData>
  <mergeCells count="9">
    <mergeCell ref="A2:A3"/>
    <mergeCell ref="A29:A32"/>
    <mergeCell ref="A4:A7"/>
    <mergeCell ref="A27:A28"/>
    <mergeCell ref="A9:A10"/>
    <mergeCell ref="A25:A26"/>
    <mergeCell ref="A12:A13"/>
    <mergeCell ref="A19:A21"/>
    <mergeCell ref="A15:A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1"/>
  <sheetViews>
    <sheetView workbookViewId="0">
      <selection activeCell="D22" sqref="D22"/>
    </sheetView>
  </sheetViews>
  <sheetFormatPr defaultRowHeight="15" x14ac:dyDescent="0.25"/>
  <cols>
    <col min="1" max="1" width="10.7109375" style="68" bestFit="1" customWidth="1"/>
    <col min="2" max="2" width="29.7109375" style="68" bestFit="1" customWidth="1"/>
    <col min="3" max="3" width="7.7109375" style="68" bestFit="1" customWidth="1"/>
    <col min="4" max="4" width="11.5703125" style="68" bestFit="1" customWidth="1"/>
    <col min="5" max="5" width="16.5703125" style="68" bestFit="1" customWidth="1"/>
    <col min="6" max="6" width="15.5703125" style="68" bestFit="1" customWidth="1"/>
    <col min="7" max="7" width="16.5703125" style="68" bestFit="1" customWidth="1"/>
    <col min="8" max="8" width="14" style="68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90">
        <v>46023</v>
      </c>
      <c r="B2" s="27" t="s">
        <v>28</v>
      </c>
      <c r="C2" s="27" t="s">
        <v>9</v>
      </c>
      <c r="D2" s="27" t="s">
        <v>10</v>
      </c>
      <c r="E2" s="73">
        <v>1998723</v>
      </c>
      <c r="F2" s="73"/>
      <c r="G2" s="73">
        <v>1998723</v>
      </c>
      <c r="H2" s="27"/>
    </row>
    <row r="3" spans="1:8" x14ac:dyDescent="0.25">
      <c r="A3" s="92"/>
      <c r="B3" s="27" t="s">
        <v>64</v>
      </c>
      <c r="C3" s="27">
        <v>1</v>
      </c>
      <c r="D3" s="27" t="s">
        <v>18</v>
      </c>
      <c r="E3" s="73">
        <v>7150000</v>
      </c>
      <c r="F3" s="73"/>
      <c r="G3" s="73">
        <f>SUM(G2+E3)</f>
        <v>9148723</v>
      </c>
      <c r="H3" s="27"/>
    </row>
    <row r="4" spans="1:8" x14ac:dyDescent="0.25">
      <c r="A4" s="66">
        <v>46024</v>
      </c>
      <c r="B4" s="27" t="s">
        <v>43</v>
      </c>
      <c r="C4" s="27">
        <v>1</v>
      </c>
      <c r="D4" s="27" t="s">
        <v>12</v>
      </c>
      <c r="E4" s="73"/>
      <c r="F4" s="73">
        <v>43700</v>
      </c>
      <c r="G4" s="73">
        <f>SUM(G3-F4)</f>
        <v>9105023</v>
      </c>
      <c r="H4" s="27"/>
    </row>
    <row r="5" spans="1:8" x14ac:dyDescent="0.25">
      <c r="A5" s="66">
        <v>46025</v>
      </c>
      <c r="B5" s="27" t="s">
        <v>66</v>
      </c>
      <c r="C5" s="27">
        <v>1</v>
      </c>
      <c r="D5" s="27" t="s">
        <v>18</v>
      </c>
      <c r="E5" s="73">
        <v>12550000</v>
      </c>
      <c r="F5" s="73"/>
      <c r="G5" s="73">
        <f>SUM(G4+E5)</f>
        <v>21655023</v>
      </c>
      <c r="H5" s="27"/>
    </row>
    <row r="6" spans="1:8" x14ac:dyDescent="0.25">
      <c r="A6" s="66">
        <v>46026</v>
      </c>
      <c r="B6" s="27" t="s">
        <v>60</v>
      </c>
      <c r="C6" s="27">
        <v>1</v>
      </c>
      <c r="D6" s="27" t="s">
        <v>18</v>
      </c>
      <c r="E6" s="73">
        <v>7000000</v>
      </c>
      <c r="F6" s="73"/>
      <c r="G6" s="73">
        <f>SUM(G5+E6)</f>
        <v>28655023</v>
      </c>
      <c r="H6" s="27"/>
    </row>
    <row r="7" spans="1:8" x14ac:dyDescent="0.25">
      <c r="A7" s="90">
        <v>46035</v>
      </c>
      <c r="B7" s="27" t="s">
        <v>64</v>
      </c>
      <c r="C7" s="27">
        <v>1</v>
      </c>
      <c r="D7" s="27" t="s">
        <v>12</v>
      </c>
      <c r="E7" s="73"/>
      <c r="F7" s="73">
        <v>7100000</v>
      </c>
      <c r="G7" s="73">
        <f>SUM(G6-F7)</f>
        <v>21555023</v>
      </c>
      <c r="H7" s="27"/>
    </row>
    <row r="8" spans="1:8" x14ac:dyDescent="0.25">
      <c r="A8" s="92"/>
      <c r="B8" s="27" t="s">
        <v>43</v>
      </c>
      <c r="C8" s="27" t="s">
        <v>9</v>
      </c>
      <c r="D8" s="27" t="s">
        <v>10</v>
      </c>
      <c r="E8" s="73"/>
      <c r="F8" s="73">
        <v>2500</v>
      </c>
      <c r="G8" s="73">
        <f>SUM(G7-F8)</f>
        <v>21552523</v>
      </c>
      <c r="H8" s="27"/>
    </row>
    <row r="9" spans="1:8" x14ac:dyDescent="0.25">
      <c r="A9" s="92"/>
      <c r="B9" s="27" t="s">
        <v>64</v>
      </c>
      <c r="C9" s="27">
        <v>1</v>
      </c>
      <c r="D9" s="27" t="s">
        <v>18</v>
      </c>
      <c r="E9" s="73">
        <v>7200000</v>
      </c>
      <c r="F9" s="73"/>
      <c r="G9" s="73">
        <f>SUM(G8+E9)</f>
        <v>28752523</v>
      </c>
      <c r="H9" s="27"/>
    </row>
    <row r="10" spans="1:8" x14ac:dyDescent="0.25">
      <c r="A10" s="90">
        <v>46036</v>
      </c>
      <c r="B10" s="27" t="s">
        <v>70</v>
      </c>
      <c r="C10" s="27" t="s">
        <v>9</v>
      </c>
      <c r="D10" s="27" t="s">
        <v>18</v>
      </c>
      <c r="E10" s="73">
        <v>218734</v>
      </c>
      <c r="F10" s="73"/>
      <c r="G10" s="73">
        <f>SUM(G9+E10)</f>
        <v>28971257</v>
      </c>
      <c r="H10" s="27"/>
    </row>
    <row r="11" spans="1:8" x14ac:dyDescent="0.25">
      <c r="A11" s="92"/>
      <c r="B11" s="27" t="s">
        <v>71</v>
      </c>
      <c r="C11" s="27" t="s">
        <v>9</v>
      </c>
      <c r="D11" s="27" t="s">
        <v>51</v>
      </c>
      <c r="E11" s="73"/>
      <c r="F11" s="73">
        <v>1000000</v>
      </c>
      <c r="G11" s="73">
        <f t="shared" ref="G11:G20" si="0">SUM(G10-F11)</f>
        <v>27971257</v>
      </c>
      <c r="H11" s="27"/>
    </row>
    <row r="12" spans="1:8" x14ac:dyDescent="0.25">
      <c r="A12" s="92"/>
      <c r="B12" s="27" t="s">
        <v>43</v>
      </c>
      <c r="C12" s="27" t="s">
        <v>9</v>
      </c>
      <c r="D12" s="27" t="s">
        <v>10</v>
      </c>
      <c r="E12" s="73"/>
      <c r="F12" s="73">
        <v>2500</v>
      </c>
      <c r="G12" s="73">
        <f t="shared" si="0"/>
        <v>27968757</v>
      </c>
      <c r="H12" s="27"/>
    </row>
    <row r="13" spans="1:8" x14ac:dyDescent="0.25">
      <c r="A13" s="90">
        <v>46037</v>
      </c>
      <c r="B13" s="27" t="s">
        <v>60</v>
      </c>
      <c r="C13" s="27">
        <v>1</v>
      </c>
      <c r="D13" s="27" t="s">
        <v>12</v>
      </c>
      <c r="E13" s="73"/>
      <c r="F13" s="73">
        <v>6650000</v>
      </c>
      <c r="G13" s="73">
        <f t="shared" si="0"/>
        <v>21318757</v>
      </c>
      <c r="H13" s="27"/>
    </row>
    <row r="14" spans="1:8" x14ac:dyDescent="0.25">
      <c r="A14" s="92"/>
      <c r="B14" s="27" t="s">
        <v>43</v>
      </c>
      <c r="C14" s="27" t="s">
        <v>9</v>
      </c>
      <c r="D14" s="27" t="s">
        <v>10</v>
      </c>
      <c r="E14" s="73"/>
      <c r="F14" s="73">
        <v>2500</v>
      </c>
      <c r="G14" s="73">
        <f t="shared" si="0"/>
        <v>21316257</v>
      </c>
      <c r="H14" s="27"/>
    </row>
    <row r="15" spans="1:8" x14ac:dyDescent="0.25">
      <c r="A15" s="90">
        <v>46038</v>
      </c>
      <c r="B15" s="27" t="s">
        <v>53</v>
      </c>
      <c r="C15" s="27">
        <v>2</v>
      </c>
      <c r="D15" s="27" t="s">
        <v>12</v>
      </c>
      <c r="E15" s="73"/>
      <c r="F15" s="73">
        <v>74698</v>
      </c>
      <c r="G15" s="73">
        <f t="shared" si="0"/>
        <v>21241559</v>
      </c>
      <c r="H15" s="27"/>
    </row>
    <row r="16" spans="1:8" x14ac:dyDescent="0.25">
      <c r="A16" s="92"/>
      <c r="B16" s="27" t="s">
        <v>72</v>
      </c>
      <c r="C16" s="27">
        <v>1</v>
      </c>
      <c r="D16" s="27" t="s">
        <v>12</v>
      </c>
      <c r="E16" s="73"/>
      <c r="F16" s="73">
        <v>6000000</v>
      </c>
      <c r="G16" s="73">
        <f t="shared" si="0"/>
        <v>15241559</v>
      </c>
      <c r="H16" s="27"/>
    </row>
    <row r="17" spans="1:8" x14ac:dyDescent="0.25">
      <c r="A17" s="92"/>
      <c r="B17" s="27" t="s">
        <v>73</v>
      </c>
      <c r="C17" s="27">
        <v>1</v>
      </c>
      <c r="D17" s="27" t="s">
        <v>12</v>
      </c>
      <c r="E17" s="73"/>
      <c r="F17" s="73">
        <v>4650000</v>
      </c>
      <c r="G17" s="73">
        <f t="shared" si="0"/>
        <v>10591559</v>
      </c>
      <c r="H17" s="27"/>
    </row>
    <row r="18" spans="1:8" x14ac:dyDescent="0.25">
      <c r="A18" s="92"/>
      <c r="B18" s="27" t="s">
        <v>43</v>
      </c>
      <c r="C18" s="27" t="s">
        <v>9</v>
      </c>
      <c r="D18" s="27" t="s">
        <v>10</v>
      </c>
      <c r="E18" s="73"/>
      <c r="F18" s="73">
        <v>2500</v>
      </c>
      <c r="G18" s="73">
        <f t="shared" si="0"/>
        <v>10589059</v>
      </c>
      <c r="H18" s="27"/>
    </row>
    <row r="19" spans="1:8" x14ac:dyDescent="0.25">
      <c r="A19" s="5">
        <v>46039</v>
      </c>
      <c r="B19" s="27" t="s">
        <v>53</v>
      </c>
      <c r="C19" s="27">
        <v>1</v>
      </c>
      <c r="D19" s="27" t="s">
        <v>12</v>
      </c>
      <c r="E19" s="73"/>
      <c r="F19" s="73">
        <v>32899</v>
      </c>
      <c r="G19" s="73">
        <f t="shared" si="0"/>
        <v>10556160</v>
      </c>
      <c r="H19" s="27"/>
    </row>
    <row r="20" spans="1:8" x14ac:dyDescent="0.25">
      <c r="A20" s="66">
        <v>46046</v>
      </c>
      <c r="B20" s="27" t="s">
        <v>74</v>
      </c>
      <c r="C20" s="27">
        <v>3</v>
      </c>
      <c r="D20" s="27" t="s">
        <v>12</v>
      </c>
      <c r="E20" s="73"/>
      <c r="F20" s="73">
        <v>258400</v>
      </c>
      <c r="G20" s="73">
        <f t="shared" si="0"/>
        <v>10297760</v>
      </c>
      <c r="H20" s="27"/>
    </row>
    <row r="21" spans="1:8" x14ac:dyDescent="0.25">
      <c r="A21" s="90">
        <v>46047</v>
      </c>
      <c r="B21" s="27" t="s">
        <v>73</v>
      </c>
      <c r="C21" s="27">
        <v>1</v>
      </c>
      <c r="D21" s="27" t="s">
        <v>18</v>
      </c>
      <c r="E21" s="73">
        <v>5300000</v>
      </c>
      <c r="F21" s="73"/>
      <c r="G21" s="73">
        <f>SUM(G20+E21)</f>
        <v>15597760</v>
      </c>
      <c r="H21" s="27"/>
    </row>
    <row r="22" spans="1:8" x14ac:dyDescent="0.25">
      <c r="A22" s="92"/>
      <c r="B22" s="27" t="s">
        <v>56</v>
      </c>
      <c r="C22" s="27" t="s">
        <v>9</v>
      </c>
      <c r="D22" s="27" t="s">
        <v>56</v>
      </c>
      <c r="E22" s="73"/>
      <c r="F22" s="73">
        <v>265000</v>
      </c>
      <c r="G22" s="73">
        <f>SUM(G21-F22)</f>
        <v>15332760</v>
      </c>
      <c r="H22" s="27"/>
    </row>
    <row r="23" spans="1:8" x14ac:dyDescent="0.25">
      <c r="A23" s="92"/>
      <c r="B23" s="27" t="s">
        <v>75</v>
      </c>
      <c r="C23" s="27" t="s">
        <v>9</v>
      </c>
      <c r="D23" s="27" t="s">
        <v>10</v>
      </c>
      <c r="E23" s="73">
        <v>102000</v>
      </c>
      <c r="F23" s="73"/>
      <c r="G23" s="73">
        <f>SUM(G22+E23)</f>
        <v>15434760</v>
      </c>
      <c r="H23" s="27"/>
    </row>
    <row r="24" spans="1:8" x14ac:dyDescent="0.25">
      <c r="A24" s="92"/>
      <c r="B24" s="27" t="s">
        <v>76</v>
      </c>
      <c r="C24" s="27" t="s">
        <v>9</v>
      </c>
      <c r="D24" s="27" t="s">
        <v>10</v>
      </c>
      <c r="E24" s="73">
        <v>185315</v>
      </c>
      <c r="F24" s="73"/>
      <c r="G24" s="73">
        <f>SUM(G23+E24)</f>
        <v>15620075</v>
      </c>
      <c r="H24" s="27"/>
    </row>
    <row r="25" spans="1:8" x14ac:dyDescent="0.25">
      <c r="A25" s="92"/>
      <c r="B25" s="27" t="s">
        <v>64</v>
      </c>
      <c r="C25" s="27">
        <v>1</v>
      </c>
      <c r="D25" s="27" t="s">
        <v>12</v>
      </c>
      <c r="E25" s="73"/>
      <c r="F25" s="73">
        <v>6700000</v>
      </c>
      <c r="G25" s="73">
        <f t="shared" ref="G25:G35" si="1">SUM(G24-F25)</f>
        <v>8920075</v>
      </c>
      <c r="H25" s="27"/>
    </row>
    <row r="26" spans="1:8" x14ac:dyDescent="0.25">
      <c r="A26" s="92"/>
      <c r="B26" s="27" t="s">
        <v>43</v>
      </c>
      <c r="C26" s="27" t="s">
        <v>9</v>
      </c>
      <c r="D26" s="27" t="s">
        <v>10</v>
      </c>
      <c r="E26" s="73"/>
      <c r="F26" s="73">
        <v>2500</v>
      </c>
      <c r="G26" s="73">
        <f t="shared" si="1"/>
        <v>8917575</v>
      </c>
      <c r="H26" s="27"/>
    </row>
    <row r="27" spans="1:8" x14ac:dyDescent="0.25">
      <c r="A27" s="92"/>
      <c r="B27" s="27" t="s">
        <v>64</v>
      </c>
      <c r="C27" s="27">
        <v>1</v>
      </c>
      <c r="D27" s="27" t="s">
        <v>12</v>
      </c>
      <c r="E27" s="73"/>
      <c r="F27" s="73">
        <v>6750000</v>
      </c>
      <c r="G27" s="73">
        <f t="shared" si="1"/>
        <v>2167575</v>
      </c>
      <c r="H27" s="27"/>
    </row>
    <row r="28" spans="1:8" x14ac:dyDescent="0.25">
      <c r="A28" s="92"/>
      <c r="B28" s="27" t="s">
        <v>43</v>
      </c>
      <c r="C28" s="27" t="s">
        <v>9</v>
      </c>
      <c r="D28" s="27" t="s">
        <v>10</v>
      </c>
      <c r="E28" s="73"/>
      <c r="F28" s="73">
        <v>2500</v>
      </c>
      <c r="G28" s="73">
        <f t="shared" si="1"/>
        <v>2165075</v>
      </c>
      <c r="H28" s="27"/>
    </row>
    <row r="29" spans="1:8" x14ac:dyDescent="0.25">
      <c r="A29" s="90">
        <v>46048</v>
      </c>
      <c r="B29" s="27" t="s">
        <v>77</v>
      </c>
      <c r="C29" s="27" t="s">
        <v>9</v>
      </c>
      <c r="D29" s="27" t="s">
        <v>10</v>
      </c>
      <c r="E29" s="73"/>
      <c r="F29" s="73">
        <v>3500</v>
      </c>
      <c r="G29" s="73">
        <f t="shared" si="1"/>
        <v>2161575</v>
      </c>
      <c r="H29" s="27"/>
    </row>
    <row r="30" spans="1:8" x14ac:dyDescent="0.25">
      <c r="A30" s="92"/>
      <c r="B30" s="27" t="s">
        <v>78</v>
      </c>
      <c r="C30" s="27">
        <v>1</v>
      </c>
      <c r="D30" s="27" t="s">
        <v>12</v>
      </c>
      <c r="E30" s="73"/>
      <c r="F30" s="73">
        <v>218020</v>
      </c>
      <c r="G30" s="73">
        <f t="shared" si="1"/>
        <v>1943555</v>
      </c>
      <c r="H30" s="27"/>
    </row>
    <row r="31" spans="1:8" x14ac:dyDescent="0.25">
      <c r="A31" s="92"/>
      <c r="B31" s="27" t="s">
        <v>74</v>
      </c>
      <c r="C31" s="27">
        <v>2</v>
      </c>
      <c r="D31" s="27" t="s">
        <v>12</v>
      </c>
      <c r="E31" s="73"/>
      <c r="F31" s="73">
        <v>181000</v>
      </c>
      <c r="G31" s="73">
        <f t="shared" si="1"/>
        <v>1762555</v>
      </c>
      <c r="H31" s="27"/>
    </row>
    <row r="32" spans="1:8" x14ac:dyDescent="0.25">
      <c r="A32" s="27"/>
      <c r="B32" s="27" t="s">
        <v>53</v>
      </c>
      <c r="C32" s="27">
        <v>2</v>
      </c>
      <c r="D32" s="27" t="s">
        <v>12</v>
      </c>
      <c r="E32" s="73"/>
      <c r="F32" s="73">
        <v>83998</v>
      </c>
      <c r="G32" s="73">
        <f t="shared" si="1"/>
        <v>1678557</v>
      </c>
      <c r="H32" s="27"/>
    </row>
    <row r="33" spans="1:8" x14ac:dyDescent="0.25">
      <c r="A33" s="90">
        <v>46053</v>
      </c>
      <c r="B33" s="27" t="s">
        <v>79</v>
      </c>
      <c r="C33" s="27">
        <v>1</v>
      </c>
      <c r="D33" s="27" t="s">
        <v>12</v>
      </c>
      <c r="E33" s="73"/>
      <c r="F33" s="73">
        <v>152900</v>
      </c>
      <c r="G33" s="73">
        <f t="shared" si="1"/>
        <v>1525657</v>
      </c>
      <c r="H33" s="27"/>
    </row>
    <row r="34" spans="1:8" x14ac:dyDescent="0.25">
      <c r="A34" s="92"/>
      <c r="B34" s="27" t="s">
        <v>80</v>
      </c>
      <c r="C34" s="27">
        <v>1</v>
      </c>
      <c r="D34" s="27" t="s">
        <v>12</v>
      </c>
      <c r="E34" s="27"/>
      <c r="F34" s="73">
        <v>103500</v>
      </c>
      <c r="G34" s="74">
        <f t="shared" si="1"/>
        <v>1422157</v>
      </c>
      <c r="H34" s="27"/>
    </row>
    <row r="35" spans="1:8" x14ac:dyDescent="0.25">
      <c r="A35" s="92"/>
      <c r="B35" s="27" t="s">
        <v>81</v>
      </c>
      <c r="C35" s="27">
        <v>1</v>
      </c>
      <c r="D35" s="27" t="s">
        <v>12</v>
      </c>
      <c r="E35" s="27"/>
      <c r="F35" s="73">
        <v>161110</v>
      </c>
      <c r="G35" s="74">
        <f t="shared" si="1"/>
        <v>1261047</v>
      </c>
      <c r="H35" s="27"/>
    </row>
    <row r="36" spans="1:8" x14ac:dyDescent="0.25">
      <c r="A36" s="27"/>
      <c r="B36" s="27"/>
      <c r="C36" s="27"/>
      <c r="D36" s="27"/>
      <c r="E36" s="27"/>
      <c r="F36" s="27"/>
      <c r="G36" s="27"/>
      <c r="H36" s="27"/>
    </row>
    <row r="37" spans="1:8" x14ac:dyDescent="0.25">
      <c r="A37" s="27"/>
      <c r="B37" s="27"/>
      <c r="C37" s="27"/>
      <c r="D37" s="27"/>
      <c r="E37" s="27"/>
      <c r="F37" s="27"/>
      <c r="G37" s="27"/>
      <c r="H37" s="27"/>
    </row>
    <row r="38" spans="1:8" x14ac:dyDescent="0.25">
      <c r="A38" s="27"/>
      <c r="B38" s="27"/>
      <c r="C38" s="27"/>
      <c r="D38" s="27"/>
      <c r="E38" s="27"/>
      <c r="F38" s="27"/>
      <c r="G38" s="27"/>
      <c r="H38" s="27"/>
    </row>
    <row r="39" spans="1:8" x14ac:dyDescent="0.25">
      <c r="A39" s="27"/>
      <c r="B39" s="27"/>
      <c r="C39" s="27"/>
      <c r="D39" s="27"/>
      <c r="E39" s="27"/>
      <c r="F39" s="27"/>
      <c r="G39" s="27"/>
      <c r="H39" s="27"/>
    </row>
    <row r="40" spans="1:8" x14ac:dyDescent="0.25">
      <c r="A40" s="27"/>
      <c r="B40" s="27"/>
      <c r="C40" s="27"/>
      <c r="D40" s="27"/>
      <c r="E40" s="27"/>
      <c r="F40" s="27"/>
      <c r="G40" s="27"/>
      <c r="H40" s="27"/>
    </row>
    <row r="41" spans="1:8" x14ac:dyDescent="0.25">
      <c r="B41" s="27"/>
      <c r="C41" s="27"/>
      <c r="D41" s="27"/>
      <c r="E41" s="27"/>
      <c r="F41" s="27"/>
      <c r="G41" s="27"/>
    </row>
  </sheetData>
  <mergeCells count="8">
    <mergeCell ref="A21:A28"/>
    <mergeCell ref="A33:A35"/>
    <mergeCell ref="A29:A31"/>
    <mergeCell ref="A2:A3"/>
    <mergeCell ref="A15:A18"/>
    <mergeCell ref="A7:A9"/>
    <mergeCell ref="A13:A14"/>
    <mergeCell ref="A10:A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0"/>
  <sheetViews>
    <sheetView topLeftCell="A6" workbookViewId="0">
      <selection activeCell="G11" sqref="G11"/>
    </sheetView>
  </sheetViews>
  <sheetFormatPr defaultRowHeight="15" x14ac:dyDescent="0.25"/>
  <cols>
    <col min="1" max="1" width="10.7109375" style="68" bestFit="1" customWidth="1"/>
    <col min="2" max="2" width="32.7109375" style="68" bestFit="1" customWidth="1"/>
    <col min="3" max="3" width="7.7109375" style="68" bestFit="1" customWidth="1"/>
    <col min="4" max="4" width="11.5703125" style="68" bestFit="1" customWidth="1"/>
    <col min="5" max="5" width="15.5703125" style="68" bestFit="1" customWidth="1"/>
    <col min="6" max="7" width="16.5703125" style="68" bestFit="1" customWidth="1"/>
    <col min="8" max="8" width="14" style="68" bestFit="1" customWidth="1"/>
    <col min="10" max="10" width="5" style="68" bestFit="1" customWidth="1"/>
    <col min="11" max="11" width="12" style="68" bestFit="1" customWidth="1"/>
    <col min="12" max="12" width="27.5703125" style="68" bestFit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2" x14ac:dyDescent="0.25">
      <c r="A2" s="90">
        <v>46054</v>
      </c>
      <c r="B2" s="67" t="s">
        <v>28</v>
      </c>
      <c r="C2" s="67" t="s">
        <v>9</v>
      </c>
      <c r="D2" s="12" t="s">
        <v>10</v>
      </c>
      <c r="E2" s="71">
        <v>1261047</v>
      </c>
      <c r="F2" s="71"/>
      <c r="G2" s="71">
        <v>1261047</v>
      </c>
      <c r="H2" s="67"/>
    </row>
    <row r="3" spans="1:12" x14ac:dyDescent="0.25">
      <c r="A3" s="92"/>
      <c r="B3" s="67" t="s">
        <v>77</v>
      </c>
      <c r="C3" s="67" t="s">
        <v>9</v>
      </c>
      <c r="D3" s="10" t="s">
        <v>10</v>
      </c>
      <c r="E3" s="71"/>
      <c r="F3" s="71">
        <v>5000</v>
      </c>
      <c r="G3" s="71">
        <f>SUM(G2-F3)</f>
        <v>1256047</v>
      </c>
      <c r="H3" s="67"/>
    </row>
    <row r="4" spans="1:12" x14ac:dyDescent="0.25">
      <c r="A4" s="2">
        <v>46057</v>
      </c>
      <c r="B4" s="67" t="s">
        <v>82</v>
      </c>
      <c r="C4" s="67">
        <v>1</v>
      </c>
      <c r="D4" s="8" t="s">
        <v>18</v>
      </c>
      <c r="E4" s="71">
        <v>7100000</v>
      </c>
      <c r="F4" s="71"/>
      <c r="G4" s="71">
        <f>SUM(G3+E4)</f>
        <v>8356047</v>
      </c>
      <c r="H4" s="67"/>
    </row>
    <row r="5" spans="1:12" x14ac:dyDescent="0.25">
      <c r="A5" s="90">
        <v>46058</v>
      </c>
      <c r="B5" s="67" t="s">
        <v>82</v>
      </c>
      <c r="C5" s="67">
        <v>1</v>
      </c>
      <c r="D5" s="7" t="s">
        <v>12</v>
      </c>
      <c r="E5" s="71"/>
      <c r="F5" s="71">
        <v>6700000</v>
      </c>
      <c r="G5" s="71">
        <f>SUM(G4-F5)</f>
        <v>1656047</v>
      </c>
      <c r="H5" s="67"/>
    </row>
    <row r="6" spans="1:12" x14ac:dyDescent="0.25">
      <c r="A6" s="92"/>
      <c r="B6" s="67" t="s">
        <v>77</v>
      </c>
      <c r="C6" s="67" t="s">
        <v>9</v>
      </c>
      <c r="D6" s="10" t="s">
        <v>10</v>
      </c>
      <c r="E6" s="71"/>
      <c r="F6" s="71">
        <v>2500</v>
      </c>
      <c r="G6" s="71">
        <f>SUM(G5-F6)</f>
        <v>1653547</v>
      </c>
      <c r="H6" s="67"/>
    </row>
    <row r="7" spans="1:12" x14ac:dyDescent="0.25">
      <c r="A7" s="2">
        <v>46062</v>
      </c>
      <c r="B7" s="67" t="s">
        <v>83</v>
      </c>
      <c r="C7" s="67">
        <v>1</v>
      </c>
      <c r="D7" s="8" t="s">
        <v>18</v>
      </c>
      <c r="E7" s="71">
        <v>5075000</v>
      </c>
      <c r="F7" s="71"/>
      <c r="G7" s="71">
        <f>SUM(G6+E7)</f>
        <v>6728547</v>
      </c>
      <c r="H7" s="67"/>
    </row>
    <row r="8" spans="1:12" x14ac:dyDescent="0.25">
      <c r="A8" s="2">
        <v>46067</v>
      </c>
      <c r="B8" s="67" t="s">
        <v>82</v>
      </c>
      <c r="C8" s="67">
        <v>1</v>
      </c>
      <c r="D8" s="8" t="s">
        <v>18</v>
      </c>
      <c r="E8" s="71">
        <v>7035000</v>
      </c>
      <c r="F8" s="71"/>
      <c r="G8" s="71">
        <f>SUM(G7+E8)</f>
        <v>13763547</v>
      </c>
      <c r="H8" s="67"/>
      <c r="J8" t="s">
        <v>84</v>
      </c>
      <c r="K8" s="13" t="s">
        <v>85</v>
      </c>
      <c r="L8" t="s">
        <v>86</v>
      </c>
    </row>
    <row r="9" spans="1:12" x14ac:dyDescent="0.25">
      <c r="A9" s="90">
        <v>46068</v>
      </c>
      <c r="B9" s="67" t="s">
        <v>87</v>
      </c>
      <c r="C9" s="67">
        <v>1</v>
      </c>
      <c r="D9" s="6" t="s">
        <v>18</v>
      </c>
      <c r="E9" s="71"/>
      <c r="F9" s="71">
        <v>35000</v>
      </c>
      <c r="G9" s="71">
        <f>SUM(G8+F9)</f>
        <v>13798547</v>
      </c>
      <c r="H9" s="67"/>
      <c r="K9" s="14" t="s">
        <v>88</v>
      </c>
      <c r="L9" t="s">
        <v>89</v>
      </c>
    </row>
    <row r="10" spans="1:12" x14ac:dyDescent="0.25">
      <c r="A10" s="92"/>
      <c r="B10" s="67" t="s">
        <v>90</v>
      </c>
      <c r="C10" s="67">
        <v>1</v>
      </c>
      <c r="D10" s="7" t="s">
        <v>12</v>
      </c>
      <c r="E10" s="71"/>
      <c r="F10" s="71">
        <v>7200000</v>
      </c>
      <c r="G10" s="71">
        <f>SUM(G9-F10)</f>
        <v>6598547</v>
      </c>
      <c r="H10" s="67"/>
      <c r="K10" s="15" t="s">
        <v>91</v>
      </c>
      <c r="L10" t="s">
        <v>92</v>
      </c>
    </row>
    <row r="11" spans="1:12" x14ac:dyDescent="0.25">
      <c r="A11" s="92"/>
      <c r="B11" s="67" t="s">
        <v>77</v>
      </c>
      <c r="C11" s="67" t="s">
        <v>9</v>
      </c>
      <c r="D11" s="10" t="s">
        <v>10</v>
      </c>
      <c r="E11" s="71"/>
      <c r="F11" s="71">
        <v>2500</v>
      </c>
      <c r="G11" s="71">
        <f>SUM(G10-F11)</f>
        <v>6596047</v>
      </c>
      <c r="H11" s="67"/>
      <c r="K11" s="16" t="s">
        <v>93</v>
      </c>
      <c r="L11" t="s">
        <v>94</v>
      </c>
    </row>
    <row r="12" spans="1:12" x14ac:dyDescent="0.25">
      <c r="A12" s="2">
        <v>46071</v>
      </c>
      <c r="B12" s="67" t="s">
        <v>56</v>
      </c>
      <c r="C12" s="67" t="s">
        <v>9</v>
      </c>
      <c r="D12" s="11" t="s">
        <v>56</v>
      </c>
      <c r="E12" s="71"/>
      <c r="F12" s="71">
        <v>204980</v>
      </c>
      <c r="G12" s="71">
        <f>SUM(G11-F12)</f>
        <v>6391067</v>
      </c>
      <c r="H12" s="67"/>
      <c r="K12" s="17" t="s">
        <v>95</v>
      </c>
      <c r="L12" t="s">
        <v>77</v>
      </c>
    </row>
    <row r="13" spans="1:12" x14ac:dyDescent="0.25">
      <c r="A13" s="90">
        <v>46072</v>
      </c>
      <c r="B13" s="67" t="s">
        <v>96</v>
      </c>
      <c r="C13" s="67">
        <v>1</v>
      </c>
      <c r="D13" s="8" t="s">
        <v>18</v>
      </c>
      <c r="E13" s="71">
        <v>6670000</v>
      </c>
      <c r="F13" s="71"/>
      <c r="G13" s="71">
        <f>SUM(G12+E13)</f>
        <v>13061067</v>
      </c>
      <c r="H13" s="67"/>
      <c r="K13" s="18" t="s">
        <v>97</v>
      </c>
      <c r="L13" t="s">
        <v>56</v>
      </c>
    </row>
    <row r="14" spans="1:12" x14ac:dyDescent="0.25">
      <c r="A14" s="92"/>
      <c r="B14" s="67" t="s">
        <v>98</v>
      </c>
      <c r="C14" s="67">
        <v>3</v>
      </c>
      <c r="D14" s="9" t="s">
        <v>12</v>
      </c>
      <c r="E14" s="71"/>
      <c r="F14" s="71">
        <v>155834</v>
      </c>
      <c r="G14" s="71">
        <f>SUM(G13-F14)</f>
        <v>12905233</v>
      </c>
      <c r="H14" s="67"/>
      <c r="K14" s="19" t="s">
        <v>99</v>
      </c>
      <c r="L14" t="s">
        <v>100</v>
      </c>
    </row>
    <row r="15" spans="1:12" x14ac:dyDescent="0.25">
      <c r="A15" s="2">
        <v>46073</v>
      </c>
      <c r="B15" s="67" t="s">
        <v>82</v>
      </c>
      <c r="C15" s="67">
        <v>1</v>
      </c>
      <c r="D15" s="7" t="s">
        <v>12</v>
      </c>
      <c r="E15" s="71"/>
      <c r="F15" s="71">
        <v>6500000</v>
      </c>
      <c r="G15" s="71">
        <f>SUM(G14-F15)</f>
        <v>6405233</v>
      </c>
      <c r="H15" s="67"/>
    </row>
    <row r="16" spans="1:12" x14ac:dyDescent="0.25">
      <c r="A16" s="67"/>
      <c r="B16" s="67" t="s">
        <v>77</v>
      </c>
      <c r="C16" s="67" t="s">
        <v>9</v>
      </c>
      <c r="D16" s="10" t="s">
        <v>10</v>
      </c>
      <c r="E16" s="71"/>
      <c r="F16" s="71">
        <v>2500</v>
      </c>
      <c r="G16" s="71">
        <f>SUM(G15-F16)</f>
        <v>6402733</v>
      </c>
      <c r="H16" s="67"/>
    </row>
    <row r="17" spans="1:8" x14ac:dyDescent="0.25">
      <c r="A17" s="90">
        <v>46075</v>
      </c>
      <c r="B17" s="67" t="s">
        <v>101</v>
      </c>
      <c r="C17" s="67">
        <v>1</v>
      </c>
      <c r="D17" s="9" t="s">
        <v>12</v>
      </c>
      <c r="E17" s="71"/>
      <c r="F17" s="71">
        <v>160000</v>
      </c>
      <c r="G17" s="71">
        <f>SUM(G16-F17)</f>
        <v>6242733</v>
      </c>
      <c r="H17" s="67"/>
    </row>
    <row r="18" spans="1:8" x14ac:dyDescent="0.25">
      <c r="A18" s="92"/>
      <c r="B18" s="67" t="s">
        <v>77</v>
      </c>
      <c r="C18" s="67" t="s">
        <v>9</v>
      </c>
      <c r="D18" s="10" t="s">
        <v>10</v>
      </c>
      <c r="E18" s="71"/>
      <c r="F18" s="71">
        <v>2500</v>
      </c>
      <c r="G18" s="71">
        <f>SUM(G17-F18)</f>
        <v>6240233</v>
      </c>
      <c r="H18" s="67"/>
    </row>
    <row r="19" spans="1:8" x14ac:dyDescent="0.25">
      <c r="A19" s="90">
        <v>46076</v>
      </c>
      <c r="B19" s="67" t="s">
        <v>102</v>
      </c>
      <c r="C19" s="67" t="s">
        <v>9</v>
      </c>
      <c r="D19" s="12" t="s">
        <v>103</v>
      </c>
      <c r="E19" s="71">
        <v>500000</v>
      </c>
      <c r="F19" s="71"/>
      <c r="G19" s="71">
        <f>SUM(G18+E19)</f>
        <v>6740233</v>
      </c>
      <c r="H19" s="67"/>
    </row>
    <row r="20" spans="1:8" x14ac:dyDescent="0.25">
      <c r="A20" s="92"/>
      <c r="B20" s="67" t="s">
        <v>104</v>
      </c>
      <c r="C20" s="67" t="s">
        <v>9</v>
      </c>
      <c r="D20" s="12" t="s">
        <v>103</v>
      </c>
      <c r="E20" s="71">
        <v>500000</v>
      </c>
      <c r="F20" s="71"/>
      <c r="G20" s="71">
        <f>SUM(G19+E20)</f>
        <v>7240233</v>
      </c>
      <c r="H20" s="67"/>
    </row>
    <row r="21" spans="1:8" x14ac:dyDescent="0.25">
      <c r="A21" s="92"/>
      <c r="B21" s="67" t="s">
        <v>70</v>
      </c>
      <c r="C21" s="67" t="s">
        <v>9</v>
      </c>
      <c r="D21" s="6" t="s">
        <v>18</v>
      </c>
      <c r="E21" s="71">
        <v>134000</v>
      </c>
      <c r="F21" s="71"/>
      <c r="G21" s="71">
        <f>SUM(G20+E21)</f>
        <v>7374233</v>
      </c>
      <c r="H21" s="67"/>
    </row>
    <row r="22" spans="1:8" x14ac:dyDescent="0.25">
      <c r="A22" s="92"/>
      <c r="B22" s="67" t="s">
        <v>105</v>
      </c>
      <c r="C22" s="67">
        <v>1</v>
      </c>
      <c r="D22" s="8" t="s">
        <v>18</v>
      </c>
      <c r="E22" s="71">
        <v>6900000</v>
      </c>
      <c r="F22" s="71"/>
      <c r="G22" s="71">
        <f>SUM(G21+E22)</f>
        <v>14274233</v>
      </c>
      <c r="H22" s="67"/>
    </row>
    <row r="23" spans="1:8" x14ac:dyDescent="0.25">
      <c r="A23" s="92"/>
      <c r="B23" s="67" t="s">
        <v>90</v>
      </c>
      <c r="C23" s="67">
        <v>1</v>
      </c>
      <c r="D23" s="7" t="s">
        <v>12</v>
      </c>
      <c r="E23" s="71"/>
      <c r="F23" s="71">
        <v>7200000</v>
      </c>
      <c r="G23" s="71">
        <f t="shared" ref="G23:G29" si="0">SUM(G22-F23)</f>
        <v>7074233</v>
      </c>
      <c r="H23" s="67"/>
    </row>
    <row r="24" spans="1:8" x14ac:dyDescent="0.25">
      <c r="A24" s="92"/>
      <c r="B24" s="67" t="s">
        <v>77</v>
      </c>
      <c r="C24" s="67" t="s">
        <v>9</v>
      </c>
      <c r="D24" s="10" t="s">
        <v>10</v>
      </c>
      <c r="E24" s="71"/>
      <c r="F24" s="71">
        <v>2500</v>
      </c>
      <c r="G24" s="71">
        <f t="shared" si="0"/>
        <v>7071733</v>
      </c>
      <c r="H24" s="67"/>
    </row>
    <row r="25" spans="1:8" x14ac:dyDescent="0.25">
      <c r="A25" s="90">
        <v>46078</v>
      </c>
      <c r="B25" s="67" t="s">
        <v>87</v>
      </c>
      <c r="C25" s="67">
        <v>2</v>
      </c>
      <c r="D25" s="9" t="s">
        <v>12</v>
      </c>
      <c r="E25" s="71"/>
      <c r="F25" s="71">
        <v>70338</v>
      </c>
      <c r="G25" s="71">
        <f t="shared" si="0"/>
        <v>7001395</v>
      </c>
      <c r="H25" s="67"/>
    </row>
    <row r="26" spans="1:8" x14ac:dyDescent="0.25">
      <c r="A26" s="92"/>
      <c r="B26" s="67" t="s">
        <v>106</v>
      </c>
      <c r="C26" s="67">
        <v>1</v>
      </c>
      <c r="D26" s="7" t="s">
        <v>12</v>
      </c>
      <c r="E26" s="71"/>
      <c r="F26" s="71">
        <v>1800000</v>
      </c>
      <c r="G26" s="71">
        <f t="shared" si="0"/>
        <v>5201395</v>
      </c>
      <c r="H26" s="67"/>
    </row>
    <row r="27" spans="1:8" x14ac:dyDescent="0.25">
      <c r="A27" s="92"/>
      <c r="B27" s="67" t="s">
        <v>77</v>
      </c>
      <c r="C27" s="67" t="s">
        <v>9</v>
      </c>
      <c r="D27" s="10" t="s">
        <v>10</v>
      </c>
      <c r="E27" s="71"/>
      <c r="F27" s="71">
        <v>2500</v>
      </c>
      <c r="G27" s="71">
        <f t="shared" si="0"/>
        <v>5198895</v>
      </c>
      <c r="H27" s="67"/>
    </row>
    <row r="28" spans="1:8" x14ac:dyDescent="0.25">
      <c r="A28" s="92"/>
      <c r="B28" s="67" t="s">
        <v>56</v>
      </c>
      <c r="C28" s="67" t="s">
        <v>9</v>
      </c>
      <c r="D28" s="11" t="s">
        <v>56</v>
      </c>
      <c r="E28" s="71"/>
      <c r="F28" s="71">
        <v>260000</v>
      </c>
      <c r="G28" s="71">
        <f t="shared" si="0"/>
        <v>4938895</v>
      </c>
      <c r="H28" s="67"/>
    </row>
    <row r="29" spans="1:8" x14ac:dyDescent="0.25">
      <c r="A29" s="92"/>
      <c r="B29" s="67" t="s">
        <v>77</v>
      </c>
      <c r="C29" s="67" t="s">
        <v>9</v>
      </c>
      <c r="D29" s="10" t="s">
        <v>10</v>
      </c>
      <c r="E29" s="71"/>
      <c r="F29" s="71">
        <v>5000</v>
      </c>
      <c r="G29" s="71">
        <f t="shared" si="0"/>
        <v>4933895</v>
      </c>
      <c r="H29" s="67"/>
    </row>
    <row r="30" spans="1:8" x14ac:dyDescent="0.25">
      <c r="A30" s="90">
        <v>46079</v>
      </c>
      <c r="B30" s="67" t="s">
        <v>90</v>
      </c>
      <c r="C30" s="67">
        <v>1</v>
      </c>
      <c r="D30" s="8" t="s">
        <v>18</v>
      </c>
      <c r="E30" s="71">
        <v>7586875</v>
      </c>
      <c r="F30" s="71"/>
      <c r="G30" s="71">
        <f>SUM(G29+E30)</f>
        <v>12520770</v>
      </c>
      <c r="H30" s="67"/>
    </row>
    <row r="31" spans="1:8" x14ac:dyDescent="0.25">
      <c r="A31" s="92"/>
      <c r="B31" s="67" t="s">
        <v>77</v>
      </c>
      <c r="C31" s="67" t="s">
        <v>9</v>
      </c>
      <c r="D31" s="10" t="s">
        <v>10</v>
      </c>
      <c r="E31" s="71"/>
      <c r="F31" s="71">
        <v>3500</v>
      </c>
      <c r="G31" s="71">
        <f>SUM(G30-F31)</f>
        <v>12517270</v>
      </c>
      <c r="H31" s="67"/>
    </row>
    <row r="32" spans="1:8" x14ac:dyDescent="0.25">
      <c r="A32" s="2">
        <v>46080</v>
      </c>
      <c r="B32" s="67" t="s">
        <v>90</v>
      </c>
      <c r="C32" s="67">
        <v>1</v>
      </c>
      <c r="D32" s="20" t="s">
        <v>18</v>
      </c>
      <c r="E32" s="71">
        <v>7700000</v>
      </c>
      <c r="F32" s="71"/>
      <c r="G32" s="71">
        <f>SUM(G31+E32)</f>
        <v>20217270</v>
      </c>
      <c r="H32" s="67"/>
    </row>
    <row r="33" spans="1:8" x14ac:dyDescent="0.25">
      <c r="A33" s="90">
        <v>46081</v>
      </c>
      <c r="B33" s="67" t="s">
        <v>107</v>
      </c>
      <c r="C33" s="67">
        <v>1</v>
      </c>
      <c r="D33" s="21" t="s">
        <v>12</v>
      </c>
      <c r="E33" s="71"/>
      <c r="F33" s="71">
        <v>9000000</v>
      </c>
      <c r="G33" s="71">
        <f>SUM(G32-F33)</f>
        <v>11217270</v>
      </c>
      <c r="H33" s="67"/>
    </row>
    <row r="34" spans="1:8" x14ac:dyDescent="0.25">
      <c r="A34" s="92"/>
      <c r="B34" s="67" t="s">
        <v>77</v>
      </c>
      <c r="C34" s="67" t="s">
        <v>9</v>
      </c>
      <c r="D34" s="10" t="s">
        <v>10</v>
      </c>
      <c r="E34" s="71"/>
      <c r="F34" s="71">
        <v>2500</v>
      </c>
      <c r="G34" s="71">
        <f>SUM(G33-F34)</f>
        <v>11214770</v>
      </c>
      <c r="H34" s="67"/>
    </row>
    <row r="35" spans="1:8" x14ac:dyDescent="0.25">
      <c r="A35" s="92"/>
      <c r="B35" s="67" t="s">
        <v>108</v>
      </c>
      <c r="C35" s="67">
        <v>2</v>
      </c>
      <c r="D35" s="9" t="s">
        <v>12</v>
      </c>
      <c r="E35" s="71"/>
      <c r="F35" s="71">
        <v>74698</v>
      </c>
      <c r="G35" s="71">
        <f>SUM(G34-F35)</f>
        <v>11140072</v>
      </c>
      <c r="H35" s="67"/>
    </row>
    <row r="36" spans="1:8" x14ac:dyDescent="0.25">
      <c r="A36" s="67"/>
      <c r="B36" s="67"/>
      <c r="C36" s="67"/>
      <c r="D36" s="67"/>
      <c r="E36" s="71"/>
      <c r="F36" s="71"/>
      <c r="G36" s="71"/>
      <c r="H36" s="67"/>
    </row>
    <row r="37" spans="1:8" x14ac:dyDescent="0.25">
      <c r="A37" s="67"/>
      <c r="B37" s="67"/>
      <c r="C37" s="67"/>
      <c r="D37" s="67"/>
      <c r="E37" s="71"/>
      <c r="F37" s="71"/>
      <c r="G37" s="71"/>
      <c r="H37" s="67"/>
    </row>
    <row r="38" spans="1:8" x14ac:dyDescent="0.25">
      <c r="A38" s="67"/>
      <c r="B38" s="67"/>
      <c r="C38" s="67"/>
      <c r="D38" s="67"/>
      <c r="E38" s="71"/>
      <c r="F38" s="71"/>
      <c r="G38" s="71"/>
      <c r="H38" s="67"/>
    </row>
    <row r="39" spans="1:8" x14ac:dyDescent="0.25">
      <c r="A39" s="67"/>
      <c r="B39" s="67"/>
      <c r="C39" s="67"/>
      <c r="D39" s="67"/>
      <c r="E39" s="71"/>
      <c r="F39" s="71"/>
      <c r="G39" s="71"/>
      <c r="H39" s="67"/>
    </row>
    <row r="40" spans="1:8" x14ac:dyDescent="0.25">
      <c r="A40" s="67"/>
      <c r="B40" s="67"/>
      <c r="C40" s="67"/>
      <c r="D40" s="67"/>
      <c r="E40" s="71"/>
      <c r="F40" s="71"/>
      <c r="G40" s="71"/>
      <c r="H40" s="67"/>
    </row>
  </sheetData>
  <mergeCells count="9">
    <mergeCell ref="A33:A35"/>
    <mergeCell ref="A2:A3"/>
    <mergeCell ref="A19:A24"/>
    <mergeCell ref="A9:A11"/>
    <mergeCell ref="A30:A31"/>
    <mergeCell ref="A5:A6"/>
    <mergeCell ref="A17:A18"/>
    <mergeCell ref="A13:A14"/>
    <mergeCell ref="A25:A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3"/>
  <sheetViews>
    <sheetView workbookViewId="0">
      <selection activeCell="J3" sqref="J3:M11"/>
    </sheetView>
  </sheetViews>
  <sheetFormatPr defaultRowHeight="15" x14ac:dyDescent="0.25"/>
  <cols>
    <col min="1" max="1" width="10.7109375" style="68" bestFit="1" customWidth="1"/>
    <col min="2" max="2" width="30" style="68" bestFit="1" customWidth="1"/>
    <col min="4" max="4" width="11.5703125" style="68" bestFit="1" customWidth="1"/>
    <col min="5" max="5" width="16.5703125" style="68" bestFit="1" customWidth="1"/>
    <col min="6" max="6" width="15.5703125" style="68" bestFit="1" customWidth="1"/>
    <col min="7" max="7" width="16.5703125" style="68" bestFit="1" customWidth="1"/>
    <col min="8" max="8" width="14" style="68" bestFit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2" x14ac:dyDescent="0.25">
      <c r="A2" s="90">
        <v>46082</v>
      </c>
      <c r="B2" s="67" t="s">
        <v>28</v>
      </c>
      <c r="C2" s="67" t="s">
        <v>9</v>
      </c>
      <c r="D2" s="12" t="s">
        <v>10</v>
      </c>
      <c r="E2" s="75">
        <v>11140072</v>
      </c>
      <c r="F2" s="75"/>
      <c r="G2" s="75">
        <v>11140072</v>
      </c>
    </row>
    <row r="3" spans="1:12" x14ac:dyDescent="0.25">
      <c r="A3" s="92"/>
      <c r="B3" s="67" t="s">
        <v>77</v>
      </c>
      <c r="C3" s="67" t="s">
        <v>9</v>
      </c>
      <c r="D3" s="10" t="s">
        <v>10</v>
      </c>
      <c r="E3" s="75"/>
      <c r="F3" s="75">
        <v>5000</v>
      </c>
      <c r="G3" s="75">
        <f>SUM(G2-F3)</f>
        <v>11135072</v>
      </c>
      <c r="J3" t="s">
        <v>84</v>
      </c>
      <c r="K3" s="13" t="s">
        <v>85</v>
      </c>
      <c r="L3" t="s">
        <v>86</v>
      </c>
    </row>
    <row r="4" spans="1:12" x14ac:dyDescent="0.25">
      <c r="A4" s="92"/>
      <c r="B4" s="67" t="s">
        <v>106</v>
      </c>
      <c r="C4" s="67">
        <v>1</v>
      </c>
      <c r="D4" s="20" t="s">
        <v>18</v>
      </c>
      <c r="E4" s="75">
        <v>3000000</v>
      </c>
      <c r="F4" s="75"/>
      <c r="G4" s="75">
        <f>SUM(G3+E4)</f>
        <v>14135072</v>
      </c>
      <c r="K4" s="14" t="s">
        <v>88</v>
      </c>
      <c r="L4" t="s">
        <v>89</v>
      </c>
    </row>
    <row r="5" spans="1:12" x14ac:dyDescent="0.25">
      <c r="A5" s="90">
        <v>46085</v>
      </c>
      <c r="B5" s="67" t="s">
        <v>109</v>
      </c>
      <c r="C5" s="67">
        <v>2</v>
      </c>
      <c r="D5" s="22" t="s">
        <v>12</v>
      </c>
      <c r="E5" s="75"/>
      <c r="F5" s="75">
        <v>75698</v>
      </c>
      <c r="G5" s="75">
        <f>SUM(G4-F5)</f>
        <v>14059374</v>
      </c>
      <c r="K5" s="15" t="s">
        <v>91</v>
      </c>
      <c r="L5" t="s">
        <v>92</v>
      </c>
    </row>
    <row r="6" spans="1:12" x14ac:dyDescent="0.25">
      <c r="A6" s="92"/>
      <c r="B6" s="67" t="s">
        <v>110</v>
      </c>
      <c r="C6" s="67">
        <v>3</v>
      </c>
      <c r="D6" s="22" t="s">
        <v>12</v>
      </c>
      <c r="E6" s="75"/>
      <c r="F6" s="75">
        <v>48297</v>
      </c>
      <c r="G6" s="75">
        <f>SUM(G5-F6)</f>
        <v>14011077</v>
      </c>
      <c r="K6" s="16" t="s">
        <v>93</v>
      </c>
      <c r="L6" t="s">
        <v>94</v>
      </c>
    </row>
    <row r="7" spans="1:12" x14ac:dyDescent="0.25">
      <c r="A7" s="4">
        <v>46086</v>
      </c>
      <c r="B7" s="67" t="s">
        <v>90</v>
      </c>
      <c r="C7" s="67">
        <v>1</v>
      </c>
      <c r="D7" s="7" t="s">
        <v>12</v>
      </c>
      <c r="E7" s="75"/>
      <c r="F7" s="75">
        <v>7350000</v>
      </c>
      <c r="G7" s="75">
        <f>SUM(G6-F7)</f>
        <v>6661077</v>
      </c>
      <c r="K7" s="17" t="s">
        <v>95</v>
      </c>
      <c r="L7" t="s">
        <v>77</v>
      </c>
    </row>
    <row r="8" spans="1:12" x14ac:dyDescent="0.25">
      <c r="A8" s="4">
        <v>46087</v>
      </c>
      <c r="B8" s="67" t="s">
        <v>110</v>
      </c>
      <c r="C8" s="67">
        <v>1</v>
      </c>
      <c r="D8" s="22" t="s">
        <v>12</v>
      </c>
      <c r="E8" s="75"/>
      <c r="F8" s="75">
        <v>17500</v>
      </c>
      <c r="G8" s="75">
        <f>SUM(G7-F8)</f>
        <v>6643577</v>
      </c>
      <c r="K8" s="18" t="s">
        <v>97</v>
      </c>
      <c r="L8" t="s">
        <v>56</v>
      </c>
    </row>
    <row r="9" spans="1:12" x14ac:dyDescent="0.25">
      <c r="A9" s="4">
        <v>46090</v>
      </c>
      <c r="B9" s="67" t="s">
        <v>90</v>
      </c>
      <c r="C9" s="67">
        <v>1</v>
      </c>
      <c r="D9" s="20" t="s">
        <v>18</v>
      </c>
      <c r="E9" s="75">
        <v>7850000</v>
      </c>
      <c r="F9" s="75"/>
      <c r="G9" s="75">
        <f>SUM(G8+E9)</f>
        <v>14493577</v>
      </c>
      <c r="K9" s="19" t="s">
        <v>99</v>
      </c>
      <c r="L9" t="s">
        <v>100</v>
      </c>
    </row>
    <row r="10" spans="1:12" x14ac:dyDescent="0.25">
      <c r="A10" s="90">
        <v>46091</v>
      </c>
      <c r="B10" s="67" t="s">
        <v>90</v>
      </c>
      <c r="C10" s="67">
        <v>1</v>
      </c>
      <c r="D10" s="7" t="s">
        <v>12</v>
      </c>
      <c r="E10" s="75"/>
      <c r="F10" s="75">
        <v>7300000</v>
      </c>
      <c r="G10" s="75">
        <f>SUM(G9-F10)</f>
        <v>7193577</v>
      </c>
      <c r="K10" s="23" t="s">
        <v>111</v>
      </c>
      <c r="L10" t="s">
        <v>112</v>
      </c>
    </row>
    <row r="11" spans="1:12" x14ac:dyDescent="0.25">
      <c r="A11" s="92"/>
      <c r="B11" s="67" t="s">
        <v>77</v>
      </c>
      <c r="C11" s="67" t="s">
        <v>9</v>
      </c>
      <c r="D11" s="10" t="s">
        <v>10</v>
      </c>
      <c r="E11" s="75"/>
      <c r="F11" s="75">
        <v>2500</v>
      </c>
      <c r="G11" s="75">
        <f>SUM(G10-F11)</f>
        <v>7191077</v>
      </c>
      <c r="K11" s="26" t="s">
        <v>113</v>
      </c>
      <c r="L11" t="s">
        <v>114</v>
      </c>
    </row>
    <row r="12" spans="1:12" x14ac:dyDescent="0.25">
      <c r="A12" s="4">
        <v>46092</v>
      </c>
      <c r="B12" s="67" t="s">
        <v>115</v>
      </c>
      <c r="C12" s="67">
        <v>1</v>
      </c>
      <c r="D12" s="25" t="s">
        <v>10</v>
      </c>
      <c r="E12" s="75"/>
      <c r="F12" s="75">
        <v>4668600</v>
      </c>
      <c r="G12" s="75">
        <f>SUM(G11-F12)</f>
        <v>2522477</v>
      </c>
    </row>
    <row r="13" spans="1:12" x14ac:dyDescent="0.25">
      <c r="A13" s="4">
        <v>46094</v>
      </c>
      <c r="B13" s="67" t="s">
        <v>116</v>
      </c>
      <c r="C13" s="67" t="s">
        <v>9</v>
      </c>
      <c r="D13" s="25" t="s">
        <v>10</v>
      </c>
      <c r="E13" s="75"/>
      <c r="F13" s="75">
        <v>150000</v>
      </c>
      <c r="G13" s="75">
        <f>SUM(G12-F13)</f>
        <v>2372477</v>
      </c>
    </row>
    <row r="14" spans="1:12" x14ac:dyDescent="0.25">
      <c r="A14" s="4">
        <v>46095</v>
      </c>
      <c r="B14" s="67" t="s">
        <v>117</v>
      </c>
      <c r="C14" s="67" t="s">
        <v>9</v>
      </c>
      <c r="D14" s="12" t="s">
        <v>103</v>
      </c>
      <c r="E14" s="75">
        <v>2500000</v>
      </c>
      <c r="F14" s="75"/>
      <c r="G14" s="75">
        <f>SUM(G13+E14)</f>
        <v>4872477</v>
      </c>
    </row>
    <row r="15" spans="1:12" x14ac:dyDescent="0.25">
      <c r="A15" s="4">
        <v>46096</v>
      </c>
      <c r="B15" s="67" t="s">
        <v>90</v>
      </c>
      <c r="C15" s="67">
        <v>1</v>
      </c>
      <c r="D15" s="20" t="s">
        <v>18</v>
      </c>
      <c r="E15" s="75">
        <v>7800000</v>
      </c>
      <c r="F15" s="75"/>
      <c r="G15" s="75">
        <f>SUM(G14+E15)</f>
        <v>12672477</v>
      </c>
    </row>
    <row r="16" spans="1:12" x14ac:dyDescent="0.25">
      <c r="A16" s="90">
        <v>46097</v>
      </c>
      <c r="B16" s="67" t="s">
        <v>118</v>
      </c>
      <c r="C16" s="67">
        <v>1</v>
      </c>
      <c r="D16" s="25" t="s">
        <v>10</v>
      </c>
      <c r="E16" s="75"/>
      <c r="F16" s="75">
        <v>103500</v>
      </c>
      <c r="G16" s="75">
        <f>SUM(G15-F16)</f>
        <v>12568977</v>
      </c>
    </row>
    <row r="17" spans="1:7" x14ac:dyDescent="0.25">
      <c r="A17" s="92"/>
      <c r="B17" s="67" t="s">
        <v>119</v>
      </c>
      <c r="C17" s="67" t="s">
        <v>9</v>
      </c>
      <c r="D17" s="12" t="s">
        <v>103</v>
      </c>
      <c r="E17" s="75">
        <v>5000000</v>
      </c>
      <c r="F17" s="75"/>
      <c r="G17" s="75">
        <f>SUM(G16+E17)</f>
        <v>17568977</v>
      </c>
    </row>
    <row r="18" spans="1:7" x14ac:dyDescent="0.25">
      <c r="A18" s="4">
        <v>46098</v>
      </c>
      <c r="B18" s="67" t="s">
        <v>117</v>
      </c>
      <c r="C18" s="67" t="s">
        <v>9</v>
      </c>
      <c r="D18" s="12" t="s">
        <v>103</v>
      </c>
      <c r="E18" s="75">
        <v>4000000</v>
      </c>
      <c r="F18" s="75"/>
      <c r="G18" s="75">
        <f>SUM(G17+E18)</f>
        <v>21568977</v>
      </c>
    </row>
    <row r="19" spans="1:7" x14ac:dyDescent="0.25">
      <c r="A19" s="4">
        <v>46099</v>
      </c>
      <c r="B19" s="67" t="s">
        <v>120</v>
      </c>
      <c r="C19" s="67">
        <v>1</v>
      </c>
      <c r="D19" s="20" t="s">
        <v>18</v>
      </c>
      <c r="E19" s="75">
        <v>6800000</v>
      </c>
      <c r="F19" s="75"/>
      <c r="G19" s="75">
        <f>SUM(G18+E19)</f>
        <v>28368977</v>
      </c>
    </row>
    <row r="20" spans="1:7" x14ac:dyDescent="0.25">
      <c r="A20" s="90">
        <v>46106</v>
      </c>
      <c r="B20" s="67" t="s">
        <v>56</v>
      </c>
      <c r="C20" s="67" t="s">
        <v>9</v>
      </c>
      <c r="D20" s="11" t="s">
        <v>56</v>
      </c>
      <c r="E20" s="75"/>
      <c r="F20" s="75">
        <v>160000</v>
      </c>
      <c r="G20" s="75">
        <f>SUM(G19-F20)</f>
        <v>28208977</v>
      </c>
    </row>
    <row r="21" spans="1:7" x14ac:dyDescent="0.25">
      <c r="A21" s="92"/>
      <c r="B21" s="67" t="s">
        <v>77</v>
      </c>
      <c r="C21" s="67" t="s">
        <v>9</v>
      </c>
      <c r="D21" s="10" t="s">
        <v>10</v>
      </c>
      <c r="E21" s="75"/>
      <c r="F21" s="75">
        <v>2500</v>
      </c>
      <c r="G21" s="75">
        <f>SUM(G20-F21)</f>
        <v>28206477</v>
      </c>
    </row>
    <row r="22" spans="1:7" x14ac:dyDescent="0.25">
      <c r="A22" s="92"/>
      <c r="B22" s="67" t="s">
        <v>121</v>
      </c>
      <c r="C22" s="67">
        <v>1</v>
      </c>
      <c r="D22" s="20" t="s">
        <v>18</v>
      </c>
      <c r="E22" s="75">
        <v>9550000</v>
      </c>
      <c r="F22" s="75"/>
      <c r="G22" s="75">
        <f>SUM(G21+E22)</f>
        <v>37756477</v>
      </c>
    </row>
    <row r="23" spans="1:7" x14ac:dyDescent="0.25">
      <c r="A23" s="92"/>
      <c r="B23" s="67" t="s">
        <v>122</v>
      </c>
      <c r="C23" s="67" t="s">
        <v>9</v>
      </c>
      <c r="D23" s="24" t="s">
        <v>10</v>
      </c>
      <c r="E23" s="75"/>
      <c r="F23" s="75">
        <v>5000000</v>
      </c>
      <c r="G23" s="75">
        <f t="shared" ref="G23:G29" si="0">SUM(G22-F23)</f>
        <v>32756477</v>
      </c>
    </row>
    <row r="24" spans="1:7" x14ac:dyDescent="0.25">
      <c r="A24" s="92"/>
      <c r="B24" s="67" t="s">
        <v>77</v>
      </c>
      <c r="C24" s="67" t="s">
        <v>9</v>
      </c>
      <c r="D24" s="10" t="s">
        <v>10</v>
      </c>
      <c r="E24" s="75"/>
      <c r="F24" s="75">
        <v>4000</v>
      </c>
      <c r="G24" s="75">
        <f t="shared" si="0"/>
        <v>32752477</v>
      </c>
    </row>
    <row r="25" spans="1:7" x14ac:dyDescent="0.25">
      <c r="A25" s="4">
        <v>46107</v>
      </c>
      <c r="B25" s="67" t="s">
        <v>123</v>
      </c>
      <c r="C25" s="67" t="s">
        <v>9</v>
      </c>
      <c r="D25" s="25" t="s">
        <v>10</v>
      </c>
      <c r="E25" s="75"/>
      <c r="F25" s="75">
        <v>33126</v>
      </c>
      <c r="G25" s="75">
        <f t="shared" si="0"/>
        <v>32719351</v>
      </c>
    </row>
    <row r="26" spans="1:7" x14ac:dyDescent="0.25">
      <c r="A26" s="90">
        <v>46108</v>
      </c>
      <c r="B26" s="67" t="s">
        <v>124</v>
      </c>
      <c r="C26" s="67">
        <v>2</v>
      </c>
      <c r="D26" s="25" t="s">
        <v>12</v>
      </c>
      <c r="E26" s="75"/>
      <c r="F26" s="75">
        <v>85700</v>
      </c>
      <c r="G26" s="75">
        <f t="shared" si="0"/>
        <v>32633651</v>
      </c>
    </row>
    <row r="27" spans="1:7" x14ac:dyDescent="0.25">
      <c r="A27" s="92"/>
      <c r="B27" s="67" t="s">
        <v>125</v>
      </c>
      <c r="C27" s="67">
        <v>2</v>
      </c>
      <c r="D27" s="25" t="s">
        <v>12</v>
      </c>
      <c r="E27" s="75"/>
      <c r="F27" s="75">
        <v>238612</v>
      </c>
      <c r="G27" s="75">
        <f t="shared" si="0"/>
        <v>32395039</v>
      </c>
    </row>
    <row r="28" spans="1:7" x14ac:dyDescent="0.25">
      <c r="A28" s="92"/>
      <c r="B28" s="67" t="s">
        <v>123</v>
      </c>
      <c r="C28" s="67" t="s">
        <v>9</v>
      </c>
      <c r="D28" s="25" t="s">
        <v>10</v>
      </c>
      <c r="E28" s="75"/>
      <c r="F28" s="75">
        <v>100331</v>
      </c>
      <c r="G28" s="75">
        <f t="shared" si="0"/>
        <v>32294708</v>
      </c>
    </row>
    <row r="29" spans="1:7" x14ac:dyDescent="0.25">
      <c r="A29" s="4">
        <v>46112</v>
      </c>
      <c r="B29" s="67" t="s">
        <v>77</v>
      </c>
      <c r="C29" s="67" t="s">
        <v>9</v>
      </c>
      <c r="D29" s="24" t="s">
        <v>10</v>
      </c>
      <c r="E29" s="75"/>
      <c r="F29" s="75">
        <v>6000</v>
      </c>
      <c r="G29" s="75">
        <f t="shared" si="0"/>
        <v>32288708</v>
      </c>
    </row>
    <row r="30" spans="1:7" x14ac:dyDescent="0.25">
      <c r="B30" s="67"/>
      <c r="C30" s="67"/>
      <c r="D30" s="67"/>
      <c r="E30" s="75"/>
      <c r="F30" s="75"/>
      <c r="G30" s="75"/>
    </row>
    <row r="31" spans="1:7" x14ac:dyDescent="0.25">
      <c r="B31" s="67"/>
      <c r="C31" s="67"/>
      <c r="D31" s="67"/>
      <c r="E31" s="75"/>
      <c r="F31" s="75"/>
      <c r="G31" s="75"/>
    </row>
    <row r="32" spans="1:7" x14ac:dyDescent="0.25">
      <c r="B32" s="67"/>
      <c r="C32" s="67"/>
      <c r="D32" s="67"/>
      <c r="E32" s="75"/>
      <c r="F32" s="75"/>
      <c r="G32" s="75"/>
    </row>
    <row r="33" spans="2:7" x14ac:dyDescent="0.25">
      <c r="B33" s="67"/>
      <c r="C33" s="67"/>
      <c r="D33" s="67"/>
      <c r="E33" s="75"/>
      <c r="F33" s="75"/>
      <c r="G33" s="75"/>
    </row>
    <row r="34" spans="2:7" x14ac:dyDescent="0.25">
      <c r="B34" s="67"/>
      <c r="C34" s="67"/>
      <c r="D34" s="67"/>
      <c r="E34" s="75"/>
      <c r="F34" s="75"/>
      <c r="G34" s="75"/>
    </row>
    <row r="35" spans="2:7" x14ac:dyDescent="0.25">
      <c r="B35" s="67"/>
      <c r="C35" s="67"/>
      <c r="D35" s="67"/>
      <c r="E35" s="75"/>
      <c r="F35" s="75"/>
      <c r="G35" s="75"/>
    </row>
    <row r="36" spans="2:7" x14ac:dyDescent="0.25">
      <c r="B36" s="67"/>
      <c r="C36" s="67"/>
      <c r="D36" s="67"/>
      <c r="E36" s="75"/>
      <c r="F36" s="75"/>
      <c r="G36" s="75"/>
    </row>
    <row r="37" spans="2:7" x14ac:dyDescent="0.25">
      <c r="B37" s="67"/>
      <c r="C37" s="67"/>
      <c r="D37" s="67"/>
      <c r="E37" s="75"/>
      <c r="F37" s="75"/>
      <c r="G37" s="75"/>
    </row>
    <row r="38" spans="2:7" x14ac:dyDescent="0.25">
      <c r="B38" s="67"/>
      <c r="C38" s="67"/>
      <c r="D38" s="67"/>
      <c r="E38" s="75"/>
      <c r="F38" s="75"/>
      <c r="G38" s="75"/>
    </row>
    <row r="39" spans="2:7" x14ac:dyDescent="0.25">
      <c r="B39" s="67"/>
      <c r="C39" s="67"/>
      <c r="D39" s="67"/>
      <c r="E39" s="75"/>
      <c r="F39" s="75"/>
      <c r="G39" s="75"/>
    </row>
    <row r="40" spans="2:7" x14ac:dyDescent="0.25">
      <c r="B40" s="67"/>
      <c r="C40" s="67"/>
      <c r="D40" s="67"/>
      <c r="E40" s="75"/>
      <c r="F40" s="75"/>
      <c r="G40" s="75"/>
    </row>
    <row r="41" spans="2:7" x14ac:dyDescent="0.25">
      <c r="B41" s="67"/>
      <c r="C41" s="67"/>
      <c r="D41" s="67"/>
      <c r="E41" s="75"/>
      <c r="F41" s="75"/>
      <c r="G41" s="75"/>
    </row>
    <row r="42" spans="2:7" x14ac:dyDescent="0.25">
      <c r="B42" s="67"/>
      <c r="C42" s="67"/>
      <c r="D42" s="67"/>
      <c r="E42" s="75"/>
      <c r="F42" s="75"/>
      <c r="G42" s="75"/>
    </row>
    <row r="43" spans="2:7" x14ac:dyDescent="0.25">
      <c r="B43" s="67"/>
      <c r="C43" s="67"/>
      <c r="D43" s="67"/>
      <c r="E43" s="75"/>
      <c r="F43" s="75"/>
      <c r="G43" s="75"/>
    </row>
  </sheetData>
  <mergeCells count="6">
    <mergeCell ref="A5:A6"/>
    <mergeCell ref="A26:A28"/>
    <mergeCell ref="A2:A4"/>
    <mergeCell ref="A20:A24"/>
    <mergeCell ref="A16:A17"/>
    <mergeCell ref="A10:A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4"/>
  <sheetViews>
    <sheetView tabSelected="1" workbookViewId="0">
      <selection activeCell="A9" sqref="A9"/>
    </sheetView>
  </sheetViews>
  <sheetFormatPr defaultRowHeight="15" x14ac:dyDescent="0.25"/>
  <cols>
    <col min="1" max="1" width="10.7109375" style="68" bestFit="1" customWidth="1"/>
    <col min="2" max="2" width="48.140625" style="68" bestFit="1" customWidth="1"/>
    <col min="3" max="3" width="7.7109375" style="68" bestFit="1" customWidth="1"/>
    <col min="4" max="4" width="11.5703125" style="68" bestFit="1" customWidth="1"/>
    <col min="5" max="5" width="17.7109375" style="68" bestFit="1" customWidth="1"/>
    <col min="6" max="8" width="16.5703125" style="68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3" x14ac:dyDescent="0.25">
      <c r="A2" s="90">
        <v>46113</v>
      </c>
      <c r="B2" s="27" t="s">
        <v>28</v>
      </c>
      <c r="C2" s="27" t="s">
        <v>9</v>
      </c>
      <c r="D2" s="29" t="s">
        <v>10</v>
      </c>
      <c r="E2" s="71">
        <v>32288708</v>
      </c>
      <c r="F2" s="73"/>
      <c r="G2" s="71">
        <f>E2</f>
        <v>32288708</v>
      </c>
      <c r="H2" s="71"/>
    </row>
    <row r="3" spans="1:13" x14ac:dyDescent="0.25">
      <c r="A3" s="92"/>
      <c r="B3" s="67" t="s">
        <v>126</v>
      </c>
      <c r="C3" s="67">
        <v>1</v>
      </c>
      <c r="D3" s="7" t="s">
        <v>12</v>
      </c>
      <c r="E3" s="71"/>
      <c r="F3" s="71">
        <v>8400000</v>
      </c>
      <c r="G3" s="71">
        <f t="shared" ref="G3:G44" si="0">G2+E3-F3</f>
        <v>23888708</v>
      </c>
      <c r="H3" s="67"/>
    </row>
    <row r="4" spans="1:13" x14ac:dyDescent="0.25">
      <c r="A4" s="92"/>
      <c r="B4" s="67" t="s">
        <v>77</v>
      </c>
      <c r="C4" s="67" t="s">
        <v>9</v>
      </c>
      <c r="D4" s="10" t="s">
        <v>10</v>
      </c>
      <c r="E4" s="71"/>
      <c r="F4" s="71">
        <v>2500</v>
      </c>
      <c r="G4" s="71">
        <f t="shared" si="0"/>
        <v>23886208</v>
      </c>
      <c r="H4" s="67"/>
    </row>
    <row r="5" spans="1:13" x14ac:dyDescent="0.25">
      <c r="A5" s="90">
        <v>46114</v>
      </c>
      <c r="B5" s="67" t="s">
        <v>127</v>
      </c>
      <c r="C5" s="67">
        <v>1</v>
      </c>
      <c r="D5" s="7" t="s">
        <v>12</v>
      </c>
      <c r="E5" s="71"/>
      <c r="F5" s="71">
        <v>7550000</v>
      </c>
      <c r="G5" s="71">
        <f t="shared" si="0"/>
        <v>16336208</v>
      </c>
      <c r="H5" s="67"/>
      <c r="K5" t="s">
        <v>84</v>
      </c>
      <c r="L5" s="13" t="s">
        <v>85</v>
      </c>
      <c r="M5" t="s">
        <v>86</v>
      </c>
    </row>
    <row r="6" spans="1:13" x14ac:dyDescent="0.25">
      <c r="A6" s="92"/>
      <c r="B6" s="67" t="s">
        <v>77</v>
      </c>
      <c r="C6" s="67" t="s">
        <v>9</v>
      </c>
      <c r="D6" s="10" t="s">
        <v>10</v>
      </c>
      <c r="E6" s="71"/>
      <c r="F6" s="71">
        <v>2500</v>
      </c>
      <c r="G6" s="71">
        <f t="shared" si="0"/>
        <v>16333708</v>
      </c>
      <c r="H6" s="67"/>
      <c r="L6" s="14" t="s">
        <v>88</v>
      </c>
      <c r="M6" t="s">
        <v>89</v>
      </c>
    </row>
    <row r="7" spans="1:13" x14ac:dyDescent="0.25">
      <c r="A7" s="92"/>
      <c r="B7" s="67" t="s">
        <v>128</v>
      </c>
      <c r="C7" s="67">
        <v>1</v>
      </c>
      <c r="D7" s="7" t="s">
        <v>12</v>
      </c>
      <c r="E7" s="71"/>
      <c r="F7" s="71">
        <v>12100000</v>
      </c>
      <c r="G7" s="71">
        <f t="shared" si="0"/>
        <v>4233708</v>
      </c>
      <c r="H7" s="67"/>
      <c r="L7" s="15" t="s">
        <v>91</v>
      </c>
      <c r="M7" t="s">
        <v>92</v>
      </c>
    </row>
    <row r="8" spans="1:13" x14ac:dyDescent="0.25">
      <c r="A8" s="92"/>
      <c r="B8" s="67" t="s">
        <v>77</v>
      </c>
      <c r="C8" s="67" t="s">
        <v>9</v>
      </c>
      <c r="D8" s="10" t="s">
        <v>10</v>
      </c>
      <c r="E8" s="71"/>
      <c r="F8" s="71">
        <v>2500</v>
      </c>
      <c r="G8" s="71">
        <f t="shared" si="0"/>
        <v>4231208</v>
      </c>
      <c r="H8" s="67"/>
      <c r="L8" s="16" t="s">
        <v>93</v>
      </c>
      <c r="M8" t="s">
        <v>94</v>
      </c>
    </row>
    <row r="9" spans="1:13" x14ac:dyDescent="0.25">
      <c r="A9" s="2">
        <v>46115</v>
      </c>
      <c r="B9" s="67" t="s">
        <v>129</v>
      </c>
      <c r="C9" s="67">
        <v>2</v>
      </c>
      <c r="D9" s="28" t="s">
        <v>12</v>
      </c>
      <c r="E9" s="71"/>
      <c r="F9" s="71">
        <v>204149</v>
      </c>
      <c r="G9" s="71">
        <f t="shared" si="0"/>
        <v>4027059</v>
      </c>
      <c r="H9" s="67"/>
      <c r="L9" s="17" t="s">
        <v>95</v>
      </c>
      <c r="M9" t="s">
        <v>77</v>
      </c>
    </row>
    <row r="10" spans="1:13" x14ac:dyDescent="0.25">
      <c r="A10" s="90">
        <v>46116</v>
      </c>
      <c r="B10" s="67" t="s">
        <v>130</v>
      </c>
      <c r="C10" s="67">
        <v>2</v>
      </c>
      <c r="D10" s="28" t="s">
        <v>12</v>
      </c>
      <c r="E10" s="71"/>
      <c r="F10" s="71">
        <v>162961</v>
      </c>
      <c r="G10" s="71">
        <f t="shared" si="0"/>
        <v>3864098</v>
      </c>
      <c r="H10" s="67"/>
      <c r="L10" s="18" t="s">
        <v>97</v>
      </c>
      <c r="M10" t="s">
        <v>56</v>
      </c>
    </row>
    <row r="11" spans="1:13" x14ac:dyDescent="0.25">
      <c r="A11" s="92"/>
      <c r="B11" s="67" t="s">
        <v>109</v>
      </c>
      <c r="C11" s="67">
        <v>3</v>
      </c>
      <c r="D11" s="28" t="s">
        <v>12</v>
      </c>
      <c r="E11" s="71"/>
      <c r="F11" s="71">
        <v>181262</v>
      </c>
      <c r="G11" s="71">
        <f t="shared" si="0"/>
        <v>3682836</v>
      </c>
      <c r="H11" s="67"/>
      <c r="L11" s="19" t="s">
        <v>99</v>
      </c>
      <c r="M11" t="s">
        <v>100</v>
      </c>
    </row>
    <row r="12" spans="1:13" x14ac:dyDescent="0.25">
      <c r="A12" s="2">
        <v>46117</v>
      </c>
      <c r="B12" s="67" t="s">
        <v>77</v>
      </c>
      <c r="C12" s="67" t="s">
        <v>9</v>
      </c>
      <c r="D12" s="10" t="s">
        <v>10</v>
      </c>
      <c r="E12" s="71"/>
      <c r="F12" s="71">
        <v>2500</v>
      </c>
      <c r="G12" s="71">
        <f t="shared" si="0"/>
        <v>3680336</v>
      </c>
      <c r="H12" s="67"/>
      <c r="L12" s="23" t="s">
        <v>111</v>
      </c>
      <c r="M12" t="s">
        <v>112</v>
      </c>
    </row>
    <row r="13" spans="1:13" x14ac:dyDescent="0.25">
      <c r="A13" s="2">
        <v>46119</v>
      </c>
      <c r="B13" s="67" t="s">
        <v>131</v>
      </c>
      <c r="C13" s="67" t="s">
        <v>9</v>
      </c>
      <c r="D13" s="25" t="s">
        <v>10</v>
      </c>
      <c r="E13" s="71"/>
      <c r="F13" s="71">
        <v>221280</v>
      </c>
      <c r="G13" s="71">
        <f t="shared" si="0"/>
        <v>3459056</v>
      </c>
      <c r="H13" s="67"/>
      <c r="L13" s="26" t="s">
        <v>113</v>
      </c>
      <c r="M13" t="s">
        <v>114</v>
      </c>
    </row>
    <row r="14" spans="1:13" x14ac:dyDescent="0.25">
      <c r="A14" s="90">
        <v>46124</v>
      </c>
      <c r="B14" s="67" t="s">
        <v>127</v>
      </c>
      <c r="C14" s="67">
        <v>1</v>
      </c>
      <c r="D14" s="20" t="s">
        <v>18</v>
      </c>
      <c r="E14" s="71">
        <v>7900000</v>
      </c>
      <c r="F14" s="71"/>
      <c r="G14" s="71">
        <f t="shared" si="0"/>
        <v>11359056</v>
      </c>
      <c r="H14" s="67"/>
    </row>
    <row r="15" spans="1:13" x14ac:dyDescent="0.25">
      <c r="A15" s="92"/>
      <c r="B15" s="67" t="s">
        <v>127</v>
      </c>
      <c r="C15" s="67">
        <v>1</v>
      </c>
      <c r="D15" s="7" t="s">
        <v>12</v>
      </c>
      <c r="E15" s="71"/>
      <c r="F15" s="71">
        <v>7500000</v>
      </c>
      <c r="G15" s="71">
        <f t="shared" si="0"/>
        <v>3859056</v>
      </c>
      <c r="H15" s="67"/>
    </row>
    <row r="16" spans="1:13" x14ac:dyDescent="0.25">
      <c r="A16" s="92"/>
      <c r="B16" s="67" t="s">
        <v>77</v>
      </c>
      <c r="C16" s="67" t="s">
        <v>9</v>
      </c>
      <c r="D16" s="10" t="s">
        <v>10</v>
      </c>
      <c r="E16" s="71"/>
      <c r="F16" s="71">
        <v>2500</v>
      </c>
      <c r="G16" s="71">
        <f t="shared" si="0"/>
        <v>3856556</v>
      </c>
      <c r="H16" s="67"/>
    </row>
    <row r="17" spans="1:8" x14ac:dyDescent="0.25">
      <c r="A17" s="92"/>
      <c r="B17" s="67" t="s">
        <v>128</v>
      </c>
      <c r="C17" s="67">
        <v>1</v>
      </c>
      <c r="D17" s="20" t="s">
        <v>18</v>
      </c>
      <c r="E17" s="71">
        <v>12700000</v>
      </c>
      <c r="F17" s="71"/>
      <c r="G17" s="71">
        <f t="shared" si="0"/>
        <v>16556556</v>
      </c>
      <c r="H17" s="67"/>
    </row>
    <row r="18" spans="1:8" x14ac:dyDescent="0.25">
      <c r="A18" s="2">
        <v>46125</v>
      </c>
      <c r="B18" s="67" t="s">
        <v>127</v>
      </c>
      <c r="C18" s="67">
        <v>1</v>
      </c>
      <c r="D18" s="20" t="s">
        <v>18</v>
      </c>
      <c r="E18" s="71">
        <v>7900000</v>
      </c>
      <c r="F18" s="71"/>
      <c r="G18" s="71">
        <f t="shared" si="0"/>
        <v>24456556</v>
      </c>
      <c r="H18" s="67"/>
    </row>
    <row r="19" spans="1:8" x14ac:dyDescent="0.25">
      <c r="A19" s="2">
        <v>46128</v>
      </c>
      <c r="B19" s="67" t="s">
        <v>132</v>
      </c>
      <c r="C19" s="67" t="s">
        <v>9</v>
      </c>
      <c r="D19" s="25" t="s">
        <v>10</v>
      </c>
      <c r="E19" s="71"/>
      <c r="F19" s="71">
        <v>22000</v>
      </c>
      <c r="G19" s="71">
        <f t="shared" si="0"/>
        <v>24434556</v>
      </c>
      <c r="H19" s="67"/>
    </row>
    <row r="20" spans="1:8" x14ac:dyDescent="0.25">
      <c r="A20" s="90">
        <v>46129</v>
      </c>
      <c r="B20" s="67" t="s">
        <v>133</v>
      </c>
      <c r="C20" s="67">
        <v>1</v>
      </c>
      <c r="D20" s="7" t="s">
        <v>12</v>
      </c>
      <c r="E20" s="71"/>
      <c r="F20" s="71">
        <v>14150000</v>
      </c>
      <c r="G20" s="71">
        <f t="shared" si="0"/>
        <v>10284556</v>
      </c>
      <c r="H20" s="67"/>
    </row>
    <row r="21" spans="1:8" x14ac:dyDescent="0.25">
      <c r="A21" s="92"/>
      <c r="B21" s="67" t="s">
        <v>77</v>
      </c>
      <c r="C21" s="67" t="s">
        <v>9</v>
      </c>
      <c r="D21" s="10" t="s">
        <v>10</v>
      </c>
      <c r="E21" s="71"/>
      <c r="F21" s="71">
        <v>2500</v>
      </c>
      <c r="G21" s="71">
        <f t="shared" si="0"/>
        <v>10282056</v>
      </c>
      <c r="H21" s="67"/>
    </row>
    <row r="22" spans="1:8" x14ac:dyDescent="0.25">
      <c r="A22" s="92"/>
      <c r="B22" s="67" t="s">
        <v>131</v>
      </c>
      <c r="C22" s="67" t="s">
        <v>9</v>
      </c>
      <c r="D22" s="25" t="s">
        <v>10</v>
      </c>
      <c r="E22" s="71"/>
      <c r="F22" s="71">
        <v>141360</v>
      </c>
      <c r="G22" s="71">
        <f t="shared" si="0"/>
        <v>10140696</v>
      </c>
      <c r="H22" s="67"/>
    </row>
    <row r="23" spans="1:8" x14ac:dyDescent="0.25">
      <c r="A23" s="92"/>
      <c r="B23" s="67" t="s">
        <v>109</v>
      </c>
      <c r="C23" s="67">
        <v>2</v>
      </c>
      <c r="D23" s="28" t="s">
        <v>12</v>
      </c>
      <c r="E23" s="71"/>
      <c r="F23" s="71">
        <v>97798</v>
      </c>
      <c r="G23" s="71">
        <f t="shared" si="0"/>
        <v>10042898</v>
      </c>
      <c r="H23" s="67"/>
    </row>
    <row r="24" spans="1:8" x14ac:dyDescent="0.25">
      <c r="A24" s="92"/>
      <c r="B24" s="67" t="s">
        <v>109</v>
      </c>
      <c r="C24" s="67">
        <v>1</v>
      </c>
      <c r="D24" s="28" t="s">
        <v>12</v>
      </c>
      <c r="E24" s="71"/>
      <c r="F24" s="71">
        <v>57699</v>
      </c>
      <c r="G24" s="71">
        <f t="shared" si="0"/>
        <v>9985199</v>
      </c>
      <c r="H24" s="67"/>
    </row>
    <row r="25" spans="1:8" x14ac:dyDescent="0.25">
      <c r="A25" s="90">
        <v>46130</v>
      </c>
      <c r="B25" s="67" t="s">
        <v>131</v>
      </c>
      <c r="C25" s="67" t="s">
        <v>9</v>
      </c>
      <c r="D25" s="25" t="s">
        <v>10</v>
      </c>
      <c r="E25" s="71"/>
      <c r="F25" s="71">
        <v>48120</v>
      </c>
      <c r="G25" s="71">
        <f t="shared" si="0"/>
        <v>9937079</v>
      </c>
      <c r="H25" s="67"/>
    </row>
    <row r="26" spans="1:8" x14ac:dyDescent="0.25">
      <c r="A26" s="90"/>
      <c r="B26" s="67" t="s">
        <v>127</v>
      </c>
      <c r="C26" s="67">
        <v>1</v>
      </c>
      <c r="D26" s="7" t="s">
        <v>12</v>
      </c>
      <c r="E26" s="71"/>
      <c r="F26" s="71">
        <v>7500000</v>
      </c>
      <c r="G26" s="71">
        <f t="shared" si="0"/>
        <v>2437079</v>
      </c>
      <c r="H26" s="67"/>
    </row>
    <row r="27" spans="1:8" x14ac:dyDescent="0.25">
      <c r="A27" s="90"/>
      <c r="B27" s="78" t="s">
        <v>77</v>
      </c>
      <c r="C27" s="78" t="s">
        <v>9</v>
      </c>
      <c r="D27" s="79" t="s">
        <v>10</v>
      </c>
      <c r="E27" s="80"/>
      <c r="F27" s="80">
        <v>2500</v>
      </c>
      <c r="G27" s="80">
        <f t="shared" si="0"/>
        <v>2434579</v>
      </c>
      <c r="H27" s="78"/>
    </row>
    <row r="28" spans="1:8" x14ac:dyDescent="0.25">
      <c r="A28" s="90">
        <v>46132</v>
      </c>
      <c r="B28" s="67" t="s">
        <v>134</v>
      </c>
      <c r="C28" s="67">
        <v>1</v>
      </c>
      <c r="D28" s="6" t="s">
        <v>12</v>
      </c>
      <c r="E28" s="71"/>
      <c r="F28" s="71">
        <v>336650</v>
      </c>
      <c r="G28" s="71">
        <f t="shared" si="0"/>
        <v>2097929</v>
      </c>
      <c r="H28" s="67"/>
    </row>
    <row r="29" spans="1:8" x14ac:dyDescent="0.25">
      <c r="A29" s="90"/>
      <c r="B29" s="67" t="s">
        <v>135</v>
      </c>
      <c r="C29" s="67" t="s">
        <v>9</v>
      </c>
      <c r="D29" s="20" t="s">
        <v>18</v>
      </c>
      <c r="E29" s="71">
        <v>25000</v>
      </c>
      <c r="F29" s="71"/>
      <c r="G29" s="71">
        <f t="shared" si="0"/>
        <v>2122929</v>
      </c>
      <c r="H29" s="67"/>
    </row>
    <row r="30" spans="1:8" x14ac:dyDescent="0.25">
      <c r="A30" s="90"/>
      <c r="B30" s="67" t="s">
        <v>109</v>
      </c>
      <c r="C30" s="67">
        <v>1</v>
      </c>
      <c r="D30" s="28" t="s">
        <v>12</v>
      </c>
      <c r="E30" s="71"/>
      <c r="F30" s="71">
        <v>41000</v>
      </c>
      <c r="G30" s="71">
        <f t="shared" si="0"/>
        <v>2081929</v>
      </c>
      <c r="H30" s="67"/>
    </row>
    <row r="31" spans="1:8" x14ac:dyDescent="0.25">
      <c r="A31" s="90">
        <v>46136</v>
      </c>
      <c r="B31" s="67" t="s">
        <v>126</v>
      </c>
      <c r="C31" s="67">
        <v>1</v>
      </c>
      <c r="D31" s="20" t="s">
        <v>18</v>
      </c>
      <c r="E31" s="71">
        <v>8700000</v>
      </c>
      <c r="F31" s="71"/>
      <c r="G31" s="71">
        <f t="shared" si="0"/>
        <v>10781929</v>
      </c>
      <c r="H31" s="67"/>
    </row>
    <row r="32" spans="1:8" x14ac:dyDescent="0.25">
      <c r="A32" s="90"/>
      <c r="B32" s="67" t="s">
        <v>133</v>
      </c>
      <c r="C32" s="67">
        <v>1</v>
      </c>
      <c r="D32" s="20" t="s">
        <v>18</v>
      </c>
      <c r="E32" s="71">
        <v>14900000</v>
      </c>
      <c r="F32" s="71"/>
      <c r="G32" s="71">
        <f t="shared" si="0"/>
        <v>25681929</v>
      </c>
      <c r="H32" s="67"/>
    </row>
    <row r="33" spans="1:8" x14ac:dyDescent="0.25">
      <c r="A33" s="90">
        <v>46137</v>
      </c>
      <c r="B33" s="67" t="s">
        <v>77</v>
      </c>
      <c r="C33" s="67" t="s">
        <v>9</v>
      </c>
      <c r="D33" s="10" t="s">
        <v>10</v>
      </c>
      <c r="E33" s="71"/>
      <c r="F33" s="71">
        <v>4000</v>
      </c>
      <c r="G33" s="71">
        <f t="shared" si="0"/>
        <v>25677929</v>
      </c>
      <c r="H33" s="67"/>
    </row>
    <row r="34" spans="1:8" x14ac:dyDescent="0.25">
      <c r="A34" s="93"/>
      <c r="B34" s="67" t="s">
        <v>131</v>
      </c>
      <c r="C34" s="67" t="s">
        <v>9</v>
      </c>
      <c r="D34" s="25" t="s">
        <v>10</v>
      </c>
      <c r="E34" s="71"/>
      <c r="F34" s="71">
        <v>71430</v>
      </c>
      <c r="G34" s="71">
        <f t="shared" si="0"/>
        <v>25606499</v>
      </c>
      <c r="H34" s="67"/>
    </row>
    <row r="35" spans="1:8" x14ac:dyDescent="0.25">
      <c r="A35" s="93"/>
      <c r="B35" s="67" t="s">
        <v>56</v>
      </c>
      <c r="C35" s="67" t="s">
        <v>9</v>
      </c>
      <c r="D35" s="11" t="s">
        <v>56</v>
      </c>
      <c r="E35" s="71"/>
      <c r="F35" s="71">
        <v>390000</v>
      </c>
      <c r="G35" s="71">
        <f t="shared" si="0"/>
        <v>25216499</v>
      </c>
      <c r="H35" s="67"/>
    </row>
    <row r="36" spans="1:8" x14ac:dyDescent="0.25">
      <c r="A36" s="93"/>
      <c r="B36" s="78" t="s">
        <v>77</v>
      </c>
      <c r="C36" s="78" t="s">
        <v>9</v>
      </c>
      <c r="D36" s="79" t="s">
        <v>10</v>
      </c>
      <c r="E36" s="80"/>
      <c r="F36" s="80">
        <v>5000</v>
      </c>
      <c r="G36" s="80">
        <f t="shared" si="0"/>
        <v>25211499</v>
      </c>
      <c r="H36" s="78"/>
    </row>
    <row r="37" spans="1:8" x14ac:dyDescent="0.25">
      <c r="A37" s="89">
        <v>46139</v>
      </c>
      <c r="B37" s="67" t="s">
        <v>127</v>
      </c>
      <c r="C37" s="67">
        <v>1</v>
      </c>
      <c r="D37" s="20" t="s">
        <v>18</v>
      </c>
      <c r="E37" s="71">
        <v>7925000</v>
      </c>
      <c r="F37" s="71"/>
      <c r="G37" s="71">
        <f t="shared" si="0"/>
        <v>33136499</v>
      </c>
      <c r="H37" s="67"/>
    </row>
    <row r="38" spans="1:8" x14ac:dyDescent="0.25">
      <c r="A38" s="90">
        <v>46140</v>
      </c>
      <c r="B38" s="67" t="s">
        <v>136</v>
      </c>
      <c r="C38" s="67">
        <v>1</v>
      </c>
      <c r="D38" s="7" t="s">
        <v>12</v>
      </c>
      <c r="E38" s="71"/>
      <c r="F38" s="71">
        <v>17500000</v>
      </c>
      <c r="G38" s="71">
        <f t="shared" si="0"/>
        <v>15636499</v>
      </c>
      <c r="H38" s="67"/>
    </row>
    <row r="39" spans="1:8" x14ac:dyDescent="0.25">
      <c r="A39" s="92"/>
      <c r="B39" s="67" t="s">
        <v>131</v>
      </c>
      <c r="C39" s="67" t="s">
        <v>9</v>
      </c>
      <c r="D39" s="25" t="s">
        <v>10</v>
      </c>
      <c r="E39" s="71"/>
      <c r="F39" s="71">
        <v>234600</v>
      </c>
      <c r="G39" s="71">
        <f t="shared" si="0"/>
        <v>15401899</v>
      </c>
      <c r="H39" s="67"/>
    </row>
    <row r="40" spans="1:8" x14ac:dyDescent="0.25">
      <c r="A40" s="92"/>
      <c r="B40" s="78" t="s">
        <v>77</v>
      </c>
      <c r="C40" s="78" t="s">
        <v>9</v>
      </c>
      <c r="D40" s="79" t="s">
        <v>10</v>
      </c>
      <c r="E40" s="80"/>
      <c r="F40" s="80">
        <v>5000</v>
      </c>
      <c r="G40" s="80">
        <f t="shared" si="0"/>
        <v>15396899</v>
      </c>
      <c r="H40" s="78"/>
    </row>
    <row r="41" spans="1:8" x14ac:dyDescent="0.25">
      <c r="A41" s="90">
        <v>46141</v>
      </c>
      <c r="B41" s="67" t="s">
        <v>137</v>
      </c>
      <c r="C41" s="67">
        <v>1</v>
      </c>
      <c r="D41" s="7" t="s">
        <v>12</v>
      </c>
      <c r="E41" s="71"/>
      <c r="F41" s="71">
        <v>13200000</v>
      </c>
      <c r="G41" s="71">
        <f t="shared" si="0"/>
        <v>2196899</v>
      </c>
      <c r="H41" s="67"/>
    </row>
    <row r="42" spans="1:8" x14ac:dyDescent="0.25">
      <c r="A42" s="90"/>
      <c r="B42" s="67" t="s">
        <v>77</v>
      </c>
      <c r="C42" s="67" t="s">
        <v>9</v>
      </c>
      <c r="D42" s="10" t="s">
        <v>10</v>
      </c>
      <c r="E42" s="71"/>
      <c r="F42" s="71">
        <v>2500</v>
      </c>
      <c r="G42" s="71">
        <f t="shared" si="0"/>
        <v>2194399</v>
      </c>
      <c r="H42" s="67"/>
    </row>
    <row r="43" spans="1:8" x14ac:dyDescent="0.25">
      <c r="A43" s="90"/>
      <c r="B43" s="67" t="s">
        <v>109</v>
      </c>
      <c r="C43" s="67">
        <v>2</v>
      </c>
      <c r="D43" s="28" t="s">
        <v>12</v>
      </c>
      <c r="E43" s="71"/>
      <c r="F43" s="71">
        <v>105398</v>
      </c>
      <c r="G43" s="71">
        <f t="shared" si="0"/>
        <v>2089001</v>
      </c>
      <c r="H43" s="67"/>
    </row>
    <row r="44" spans="1:8" x14ac:dyDescent="0.25">
      <c r="A44" s="77">
        <v>46142</v>
      </c>
      <c r="B44" s="78" t="s">
        <v>77</v>
      </c>
      <c r="C44" s="78" t="s">
        <v>9</v>
      </c>
      <c r="D44" s="79" t="s">
        <v>10</v>
      </c>
      <c r="E44" s="80"/>
      <c r="F44" s="80">
        <v>6000</v>
      </c>
      <c r="G44" s="80">
        <f t="shared" si="0"/>
        <v>2083001</v>
      </c>
      <c r="H44" s="78"/>
    </row>
    <row r="45" spans="1:8" x14ac:dyDescent="0.25">
      <c r="E45" s="75"/>
      <c r="F45" s="75"/>
      <c r="G45" s="75"/>
    </row>
    <row r="46" spans="1:8" x14ac:dyDescent="0.25">
      <c r="E46" s="75"/>
      <c r="F46" s="75"/>
      <c r="G46" s="75"/>
    </row>
    <row r="47" spans="1:8" x14ac:dyDescent="0.25">
      <c r="E47" s="75"/>
      <c r="F47" s="75"/>
      <c r="G47" s="75"/>
    </row>
    <row r="48" spans="1:8" x14ac:dyDescent="0.25">
      <c r="E48" s="75"/>
      <c r="F48" s="75"/>
      <c r="G48" s="75"/>
    </row>
    <row r="49" spans="5:7" x14ac:dyDescent="0.25">
      <c r="E49" s="75"/>
      <c r="F49" s="75"/>
      <c r="G49" s="75"/>
    </row>
    <row r="50" spans="5:7" x14ac:dyDescent="0.25">
      <c r="E50" s="75"/>
      <c r="F50" s="75"/>
      <c r="G50" s="75"/>
    </row>
    <row r="51" spans="5:7" x14ac:dyDescent="0.25">
      <c r="E51" s="75"/>
      <c r="F51" s="75"/>
      <c r="G51" s="75"/>
    </row>
    <row r="52" spans="5:7" x14ac:dyDescent="0.25">
      <c r="E52" s="75"/>
      <c r="F52" s="75"/>
      <c r="G52" s="75"/>
    </row>
    <row r="53" spans="5:7" x14ac:dyDescent="0.25">
      <c r="E53" s="75"/>
      <c r="F53" s="75"/>
      <c r="G53" s="75"/>
    </row>
    <row r="54" spans="5:7" x14ac:dyDescent="0.25">
      <c r="E54" s="75"/>
      <c r="F54" s="75"/>
      <c r="G54" s="75"/>
    </row>
  </sheetData>
  <mergeCells count="11">
    <mergeCell ref="A41:A43"/>
    <mergeCell ref="A38:A40"/>
    <mergeCell ref="A14:A17"/>
    <mergeCell ref="A2:A4"/>
    <mergeCell ref="A20:A24"/>
    <mergeCell ref="A5:A8"/>
    <mergeCell ref="A10:A11"/>
    <mergeCell ref="A25:A27"/>
    <mergeCell ref="A28:A30"/>
    <mergeCell ref="A31:A32"/>
    <mergeCell ref="A33:A36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60"/>
  <sheetViews>
    <sheetView topLeftCell="A17" workbookViewId="0">
      <selection activeCell="A43" sqref="A43:A48"/>
    </sheetView>
  </sheetViews>
  <sheetFormatPr defaultRowHeight="15" x14ac:dyDescent="0.25"/>
  <cols>
    <col min="1" max="1" width="10.7109375" style="68" bestFit="1" customWidth="1"/>
    <col min="2" max="2" width="43.140625" style="68" bestFit="1" customWidth="1"/>
    <col min="3" max="3" width="7.7109375" style="68" bestFit="1" customWidth="1"/>
    <col min="4" max="4" width="11.5703125" style="68" bestFit="1" customWidth="1"/>
    <col min="5" max="7" width="16.5703125" style="68" bestFit="1" customWidth="1"/>
    <col min="8" max="8" width="14" style="68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3" x14ac:dyDescent="0.25">
      <c r="A2" s="90">
        <v>46143</v>
      </c>
      <c r="B2" s="27" t="s">
        <v>28</v>
      </c>
      <c r="C2" s="27" t="s">
        <v>9</v>
      </c>
      <c r="D2" s="29" t="s">
        <v>10</v>
      </c>
      <c r="E2" s="73">
        <v>2083001</v>
      </c>
      <c r="F2" s="73"/>
      <c r="G2" s="73">
        <f>E2</f>
        <v>2083001</v>
      </c>
      <c r="H2" s="27"/>
    </row>
    <row r="3" spans="1:13" x14ac:dyDescent="0.25">
      <c r="A3" s="92"/>
      <c r="B3" s="27" t="s">
        <v>131</v>
      </c>
      <c r="C3" s="27" t="s">
        <v>9</v>
      </c>
      <c r="D3" s="37" t="s">
        <v>10</v>
      </c>
      <c r="E3" s="73"/>
      <c r="F3" s="73">
        <v>34800</v>
      </c>
      <c r="G3" s="73">
        <f t="shared" ref="G3:G48" si="0">G2+E3-F3</f>
        <v>2048201</v>
      </c>
      <c r="H3" s="27"/>
      <c r="L3" s="14" t="s">
        <v>88</v>
      </c>
      <c r="M3" t="s">
        <v>89</v>
      </c>
    </row>
    <row r="4" spans="1:13" x14ac:dyDescent="0.25">
      <c r="A4" s="66">
        <v>46146</v>
      </c>
      <c r="B4" s="27" t="s">
        <v>70</v>
      </c>
      <c r="C4" s="27" t="s">
        <v>9</v>
      </c>
      <c r="D4" s="31" t="s">
        <v>18</v>
      </c>
      <c r="E4" s="73">
        <v>1684373</v>
      </c>
      <c r="F4" s="73"/>
      <c r="G4" s="73">
        <f t="shared" si="0"/>
        <v>3732574</v>
      </c>
      <c r="H4" s="27"/>
      <c r="L4" s="15" t="s">
        <v>91</v>
      </c>
      <c r="M4" t="s">
        <v>92</v>
      </c>
    </row>
    <row r="5" spans="1:13" x14ac:dyDescent="0.25">
      <c r="A5" s="56"/>
      <c r="B5" s="44" t="s">
        <v>138</v>
      </c>
      <c r="C5" s="44" t="s">
        <v>9</v>
      </c>
      <c r="D5" s="81" t="s">
        <v>10</v>
      </c>
      <c r="E5" s="82"/>
      <c r="F5" s="82">
        <v>234600</v>
      </c>
      <c r="G5" s="82">
        <f t="shared" si="0"/>
        <v>3497974</v>
      </c>
      <c r="H5" s="44"/>
    </row>
    <row r="6" spans="1:13" x14ac:dyDescent="0.25">
      <c r="A6" s="90">
        <v>46147</v>
      </c>
      <c r="B6" s="27" t="s">
        <v>139</v>
      </c>
      <c r="C6" s="27">
        <v>1</v>
      </c>
      <c r="D6" s="34" t="s">
        <v>12</v>
      </c>
      <c r="E6" s="73"/>
      <c r="F6" s="73">
        <v>39421</v>
      </c>
      <c r="G6" s="73">
        <f t="shared" si="0"/>
        <v>3458553</v>
      </c>
      <c r="H6" s="27"/>
      <c r="L6" s="16" t="s">
        <v>93</v>
      </c>
      <c r="M6" t="s">
        <v>94</v>
      </c>
    </row>
    <row r="7" spans="1:13" x14ac:dyDescent="0.25">
      <c r="A7" s="92"/>
      <c r="B7" s="27" t="s">
        <v>139</v>
      </c>
      <c r="C7" s="27">
        <v>1</v>
      </c>
      <c r="D7" s="34" t="s">
        <v>12</v>
      </c>
      <c r="E7" s="73"/>
      <c r="F7" s="73">
        <v>22998</v>
      </c>
      <c r="G7" s="73">
        <f t="shared" si="0"/>
        <v>3435555</v>
      </c>
      <c r="H7" s="27"/>
      <c r="L7" s="17" t="s">
        <v>95</v>
      </c>
      <c r="M7" t="s">
        <v>77</v>
      </c>
    </row>
    <row r="8" spans="1:13" x14ac:dyDescent="0.25">
      <c r="A8" s="66">
        <v>46153</v>
      </c>
      <c r="B8" s="27" t="s">
        <v>131</v>
      </c>
      <c r="C8" s="27" t="s">
        <v>9</v>
      </c>
      <c r="D8" s="37" t="s">
        <v>10</v>
      </c>
      <c r="E8" s="73"/>
      <c r="F8" s="73">
        <v>234600</v>
      </c>
      <c r="G8" s="73">
        <f t="shared" si="0"/>
        <v>3200955</v>
      </c>
      <c r="H8" s="27"/>
      <c r="L8" s="18" t="s">
        <v>97</v>
      </c>
      <c r="M8" t="s">
        <v>56</v>
      </c>
    </row>
    <row r="9" spans="1:13" x14ac:dyDescent="0.25">
      <c r="A9" s="90">
        <v>46156</v>
      </c>
      <c r="B9" s="27" t="s">
        <v>140</v>
      </c>
      <c r="C9" s="27" t="s">
        <v>9</v>
      </c>
      <c r="D9" s="41" t="s">
        <v>10</v>
      </c>
      <c r="E9" s="73"/>
      <c r="F9" s="73">
        <v>865000</v>
      </c>
      <c r="G9" s="73">
        <f t="shared" si="0"/>
        <v>2335955</v>
      </c>
      <c r="H9" s="27"/>
      <c r="L9" s="19" t="s">
        <v>99</v>
      </c>
      <c r="M9" t="s">
        <v>100</v>
      </c>
    </row>
    <row r="10" spans="1:13" x14ac:dyDescent="0.25">
      <c r="A10" s="92"/>
      <c r="B10" s="27" t="s">
        <v>77</v>
      </c>
      <c r="C10" s="27"/>
      <c r="D10" s="36" t="s">
        <v>10</v>
      </c>
      <c r="E10" s="73"/>
      <c r="F10" s="73">
        <v>2500</v>
      </c>
      <c r="G10" s="73">
        <f t="shared" si="0"/>
        <v>2333455</v>
      </c>
      <c r="H10" s="27"/>
      <c r="L10" s="23" t="s">
        <v>111</v>
      </c>
      <c r="M10" t="s">
        <v>112</v>
      </c>
    </row>
    <row r="11" spans="1:13" x14ac:dyDescent="0.25">
      <c r="A11" s="90">
        <v>46158</v>
      </c>
      <c r="B11" s="27" t="s">
        <v>70</v>
      </c>
      <c r="C11" s="27" t="s">
        <v>9</v>
      </c>
      <c r="D11" s="31" t="s">
        <v>18</v>
      </c>
      <c r="E11" s="73">
        <v>574645</v>
      </c>
      <c r="F11" s="73"/>
      <c r="G11" s="73">
        <f t="shared" si="0"/>
        <v>2908100</v>
      </c>
      <c r="H11" s="27"/>
      <c r="L11" s="26" t="s">
        <v>113</v>
      </c>
      <c r="M11" t="s">
        <v>114</v>
      </c>
    </row>
    <row r="12" spans="1:13" x14ac:dyDescent="0.25">
      <c r="A12" s="92"/>
      <c r="B12" s="27" t="s">
        <v>140</v>
      </c>
      <c r="C12" s="27" t="s">
        <v>9</v>
      </c>
      <c r="D12" s="41" t="s">
        <v>10</v>
      </c>
      <c r="E12" s="73"/>
      <c r="F12" s="73">
        <v>1009000</v>
      </c>
      <c r="G12" s="73">
        <f t="shared" si="0"/>
        <v>1899100</v>
      </c>
      <c r="H12" s="27"/>
    </row>
    <row r="13" spans="1:13" x14ac:dyDescent="0.25">
      <c r="A13" s="92"/>
      <c r="B13" s="27" t="s">
        <v>141</v>
      </c>
      <c r="C13" s="27">
        <v>1</v>
      </c>
      <c r="D13" s="30" t="s">
        <v>18</v>
      </c>
      <c r="E13" s="73">
        <v>13900000</v>
      </c>
      <c r="F13" s="73"/>
      <c r="G13" s="73">
        <f t="shared" si="0"/>
        <v>15799100</v>
      </c>
      <c r="H13" s="27"/>
    </row>
    <row r="14" spans="1:13" x14ac:dyDescent="0.25">
      <c r="A14" s="66">
        <v>46159</v>
      </c>
      <c r="B14" s="27" t="s">
        <v>77</v>
      </c>
      <c r="C14" s="27" t="s">
        <v>9</v>
      </c>
      <c r="D14" s="36" t="s">
        <v>10</v>
      </c>
      <c r="E14" s="73"/>
      <c r="F14" s="73">
        <v>4000</v>
      </c>
      <c r="G14" s="73">
        <f t="shared" si="0"/>
        <v>15795100</v>
      </c>
      <c r="H14" s="27"/>
    </row>
    <row r="15" spans="1:13" x14ac:dyDescent="0.25">
      <c r="A15" s="66">
        <v>46160</v>
      </c>
      <c r="B15" s="27" t="s">
        <v>131</v>
      </c>
      <c r="C15" s="27" t="s">
        <v>9</v>
      </c>
      <c r="D15" s="41" t="s">
        <v>10</v>
      </c>
      <c r="E15" s="73"/>
      <c r="F15" s="73">
        <v>327840</v>
      </c>
      <c r="G15" s="73">
        <f t="shared" si="0"/>
        <v>15467260</v>
      </c>
      <c r="H15" s="27"/>
    </row>
    <row r="16" spans="1:13" x14ac:dyDescent="0.25">
      <c r="A16" s="90">
        <v>46161</v>
      </c>
      <c r="B16" s="27" t="s">
        <v>140</v>
      </c>
      <c r="C16" s="27" t="s">
        <v>9</v>
      </c>
      <c r="D16" s="41" t="s">
        <v>10</v>
      </c>
      <c r="E16" s="73"/>
      <c r="F16" s="73">
        <v>1484871</v>
      </c>
      <c r="G16" s="73">
        <f t="shared" si="0"/>
        <v>13982389</v>
      </c>
      <c r="H16" s="27"/>
    </row>
    <row r="17" spans="1:8" x14ac:dyDescent="0.25">
      <c r="A17" s="92"/>
      <c r="B17" s="27" t="s">
        <v>77</v>
      </c>
      <c r="C17" s="27" t="s">
        <v>9</v>
      </c>
      <c r="D17" s="36" t="s">
        <v>10</v>
      </c>
      <c r="E17" s="73"/>
      <c r="F17" s="73">
        <v>2500</v>
      </c>
      <c r="G17" s="73">
        <f t="shared" si="0"/>
        <v>13979889</v>
      </c>
      <c r="H17" s="27"/>
    </row>
    <row r="18" spans="1:8" x14ac:dyDescent="0.25">
      <c r="A18" s="66">
        <v>46162</v>
      </c>
      <c r="B18" s="27" t="s">
        <v>142</v>
      </c>
      <c r="C18" s="27" t="s">
        <v>9</v>
      </c>
      <c r="D18" s="38" t="s">
        <v>18</v>
      </c>
      <c r="E18" s="73">
        <v>862100</v>
      </c>
      <c r="F18" s="73"/>
      <c r="G18" s="73">
        <f t="shared" si="0"/>
        <v>14841989</v>
      </c>
      <c r="H18" s="27"/>
    </row>
    <row r="19" spans="1:8" x14ac:dyDescent="0.25">
      <c r="A19" s="66">
        <v>46163</v>
      </c>
      <c r="B19" s="27" t="s">
        <v>142</v>
      </c>
      <c r="C19" s="27" t="s">
        <v>9</v>
      </c>
      <c r="D19" s="38" t="s">
        <v>18</v>
      </c>
      <c r="E19" s="73">
        <v>1009000</v>
      </c>
      <c r="F19" s="73"/>
      <c r="G19" s="73">
        <f t="shared" si="0"/>
        <v>15850989</v>
      </c>
      <c r="H19" s="27"/>
    </row>
    <row r="20" spans="1:8" x14ac:dyDescent="0.25">
      <c r="A20" s="90">
        <v>46164</v>
      </c>
      <c r="B20" s="27" t="s">
        <v>142</v>
      </c>
      <c r="C20" s="27" t="s">
        <v>9</v>
      </c>
      <c r="D20" s="38" t="s">
        <v>18</v>
      </c>
      <c r="E20" s="73">
        <v>1481971</v>
      </c>
      <c r="F20" s="73"/>
      <c r="G20" s="73">
        <f t="shared" si="0"/>
        <v>17332960</v>
      </c>
      <c r="H20" s="27"/>
    </row>
    <row r="21" spans="1:8" x14ac:dyDescent="0.25">
      <c r="A21" s="92"/>
      <c r="B21" s="27" t="s">
        <v>131</v>
      </c>
      <c r="C21" s="27" t="s">
        <v>9</v>
      </c>
      <c r="D21" s="37" t="s">
        <v>10</v>
      </c>
      <c r="E21" s="73"/>
      <c r="F21" s="73">
        <v>213120</v>
      </c>
      <c r="G21" s="73">
        <f t="shared" si="0"/>
        <v>17119840</v>
      </c>
      <c r="H21" s="27"/>
    </row>
    <row r="22" spans="1:8" x14ac:dyDescent="0.25">
      <c r="A22" s="92"/>
      <c r="B22" s="27" t="s">
        <v>77</v>
      </c>
      <c r="C22" s="27" t="s">
        <v>9</v>
      </c>
      <c r="D22" s="36" t="s">
        <v>10</v>
      </c>
      <c r="E22" s="73"/>
      <c r="F22" s="73">
        <v>1500</v>
      </c>
      <c r="G22" s="73">
        <f t="shared" si="0"/>
        <v>17118340</v>
      </c>
      <c r="H22" s="27"/>
    </row>
    <row r="23" spans="1:8" x14ac:dyDescent="0.25">
      <c r="A23" s="90">
        <v>46165</v>
      </c>
      <c r="B23" s="27" t="s">
        <v>143</v>
      </c>
      <c r="C23" s="27" t="s">
        <v>9</v>
      </c>
      <c r="D23" s="39" t="s">
        <v>10</v>
      </c>
      <c r="E23" s="73"/>
      <c r="F23" s="73">
        <v>50000</v>
      </c>
      <c r="G23" s="73">
        <f t="shared" si="0"/>
        <v>17068340</v>
      </c>
      <c r="H23" s="27"/>
    </row>
    <row r="24" spans="1:8" x14ac:dyDescent="0.25">
      <c r="A24" s="92"/>
      <c r="B24" s="27" t="s">
        <v>77</v>
      </c>
      <c r="C24" s="27" t="s">
        <v>9</v>
      </c>
      <c r="D24" s="36" t="s">
        <v>10</v>
      </c>
      <c r="E24" s="73"/>
      <c r="F24" s="73">
        <v>2500</v>
      </c>
      <c r="G24" s="73">
        <f t="shared" si="0"/>
        <v>17065840</v>
      </c>
      <c r="H24" s="27"/>
    </row>
    <row r="25" spans="1:8" x14ac:dyDescent="0.25">
      <c r="A25" s="92"/>
      <c r="B25" s="27" t="s">
        <v>144</v>
      </c>
      <c r="C25" s="27">
        <v>1</v>
      </c>
      <c r="D25" s="35" t="s">
        <v>12</v>
      </c>
      <c r="E25" s="73"/>
      <c r="F25" s="73">
        <v>12800000</v>
      </c>
      <c r="G25" s="73">
        <f t="shared" si="0"/>
        <v>4265840</v>
      </c>
      <c r="H25" s="27"/>
    </row>
    <row r="26" spans="1:8" x14ac:dyDescent="0.25">
      <c r="A26" s="92"/>
      <c r="B26" s="27" t="s">
        <v>145</v>
      </c>
      <c r="C26" s="27">
        <v>2</v>
      </c>
      <c r="D26" s="34" t="s">
        <v>12</v>
      </c>
      <c r="E26" s="73"/>
      <c r="F26" s="73">
        <v>88700</v>
      </c>
      <c r="G26" s="73">
        <f t="shared" si="0"/>
        <v>4177140</v>
      </c>
      <c r="H26" s="27"/>
    </row>
    <row r="27" spans="1:8" x14ac:dyDescent="0.25">
      <c r="A27" s="92"/>
      <c r="B27" s="27" t="s">
        <v>131</v>
      </c>
      <c r="C27" s="27" t="s">
        <v>9</v>
      </c>
      <c r="D27" s="37" t="s">
        <v>10</v>
      </c>
      <c r="E27" s="73"/>
      <c r="F27" s="73">
        <v>186480</v>
      </c>
      <c r="G27" s="73">
        <f t="shared" si="0"/>
        <v>3990660</v>
      </c>
      <c r="H27" s="27"/>
    </row>
    <row r="28" spans="1:8" x14ac:dyDescent="0.25">
      <c r="A28" s="92"/>
      <c r="B28" s="27" t="s">
        <v>77</v>
      </c>
      <c r="C28" s="27" t="s">
        <v>9</v>
      </c>
      <c r="D28" s="36" t="s">
        <v>10</v>
      </c>
      <c r="E28" s="73"/>
      <c r="F28" s="73">
        <v>1500</v>
      </c>
      <c r="G28" s="73">
        <f t="shared" si="0"/>
        <v>3989160</v>
      </c>
      <c r="H28" s="27"/>
    </row>
    <row r="29" spans="1:8" x14ac:dyDescent="0.25">
      <c r="A29" s="66">
        <v>46166</v>
      </c>
      <c r="B29" s="27" t="s">
        <v>132</v>
      </c>
      <c r="C29" s="27" t="s">
        <v>9</v>
      </c>
      <c r="D29" s="37" t="s">
        <v>10</v>
      </c>
      <c r="E29" s="73"/>
      <c r="F29" s="73">
        <v>12000</v>
      </c>
      <c r="G29" s="73">
        <f t="shared" si="0"/>
        <v>3977160</v>
      </c>
      <c r="H29" s="27"/>
    </row>
    <row r="30" spans="1:8" x14ac:dyDescent="0.25">
      <c r="A30" s="90">
        <v>46167</v>
      </c>
      <c r="B30" s="27" t="s">
        <v>56</v>
      </c>
      <c r="C30" s="27" t="s">
        <v>9</v>
      </c>
      <c r="D30" s="40" t="s">
        <v>56</v>
      </c>
      <c r="E30" s="73"/>
      <c r="F30" s="73">
        <v>390000</v>
      </c>
      <c r="G30" s="73">
        <f t="shared" si="0"/>
        <v>3587160</v>
      </c>
      <c r="H30" s="27"/>
    </row>
    <row r="31" spans="1:8" x14ac:dyDescent="0.25">
      <c r="A31" s="92"/>
      <c r="B31" s="27" t="s">
        <v>77</v>
      </c>
      <c r="C31" s="27" t="s">
        <v>9</v>
      </c>
      <c r="D31" s="36" t="s">
        <v>10</v>
      </c>
      <c r="E31" s="73"/>
      <c r="F31" s="73">
        <v>5000</v>
      </c>
      <c r="G31" s="73">
        <f t="shared" si="0"/>
        <v>3582160</v>
      </c>
      <c r="H31" s="27"/>
    </row>
    <row r="32" spans="1:8" x14ac:dyDescent="0.25">
      <c r="A32" s="90">
        <v>46168</v>
      </c>
      <c r="B32" s="27" t="s">
        <v>131</v>
      </c>
      <c r="C32" s="27" t="s">
        <v>9</v>
      </c>
      <c r="D32" s="37" t="s">
        <v>10</v>
      </c>
      <c r="E32" s="73"/>
      <c r="F32" s="73">
        <v>372960</v>
      </c>
      <c r="G32" s="73">
        <f t="shared" si="0"/>
        <v>3209200</v>
      </c>
      <c r="H32" s="27"/>
    </row>
    <row r="33" spans="1:8" x14ac:dyDescent="0.25">
      <c r="A33" s="92"/>
      <c r="B33" s="27" t="s">
        <v>77</v>
      </c>
      <c r="C33" s="27" t="s">
        <v>9</v>
      </c>
      <c r="D33" s="36" t="s">
        <v>10</v>
      </c>
      <c r="E33" s="73"/>
      <c r="F33" s="73">
        <v>1500</v>
      </c>
      <c r="G33" s="73">
        <f t="shared" si="0"/>
        <v>3207700</v>
      </c>
      <c r="H33" s="27"/>
    </row>
    <row r="34" spans="1:8" x14ac:dyDescent="0.25">
      <c r="A34" s="90">
        <v>46169</v>
      </c>
      <c r="B34" s="27" t="s">
        <v>131</v>
      </c>
      <c r="C34" s="27" t="s">
        <v>9</v>
      </c>
      <c r="D34" s="37" t="s">
        <v>10</v>
      </c>
      <c r="E34" s="73"/>
      <c r="F34" s="73">
        <v>49000</v>
      </c>
      <c r="G34" s="73">
        <f t="shared" si="0"/>
        <v>3158700</v>
      </c>
      <c r="H34" s="27"/>
    </row>
    <row r="35" spans="1:8" x14ac:dyDescent="0.25">
      <c r="A35" s="92"/>
      <c r="B35" s="27" t="s">
        <v>77</v>
      </c>
      <c r="C35" s="27" t="s">
        <v>9</v>
      </c>
      <c r="D35" s="36" t="s">
        <v>10</v>
      </c>
      <c r="E35" s="73"/>
      <c r="F35" s="73">
        <v>2500</v>
      </c>
      <c r="G35" s="73">
        <f t="shared" si="0"/>
        <v>3156200</v>
      </c>
      <c r="H35" s="27"/>
    </row>
    <row r="36" spans="1:8" x14ac:dyDescent="0.25">
      <c r="A36" s="90">
        <v>46170</v>
      </c>
      <c r="B36" s="27" t="s">
        <v>131</v>
      </c>
      <c r="C36" s="27" t="s">
        <v>9</v>
      </c>
      <c r="D36" s="37" t="s">
        <v>10</v>
      </c>
      <c r="E36" s="73"/>
      <c r="F36" s="73">
        <v>146520</v>
      </c>
      <c r="G36" s="73">
        <f t="shared" si="0"/>
        <v>3009680</v>
      </c>
      <c r="H36" s="27"/>
    </row>
    <row r="37" spans="1:8" x14ac:dyDescent="0.25">
      <c r="A37" s="92"/>
      <c r="B37" s="27" t="s">
        <v>77</v>
      </c>
      <c r="C37" s="27" t="s">
        <v>9</v>
      </c>
      <c r="D37" s="36" t="s">
        <v>10</v>
      </c>
      <c r="E37" s="73"/>
      <c r="F37" s="73">
        <v>1500</v>
      </c>
      <c r="G37" s="73">
        <f t="shared" si="0"/>
        <v>3008180</v>
      </c>
      <c r="H37" s="27"/>
    </row>
    <row r="38" spans="1:8" x14ac:dyDescent="0.25">
      <c r="A38" s="92"/>
      <c r="B38" s="27" t="s">
        <v>70</v>
      </c>
      <c r="C38" s="27" t="s">
        <v>9</v>
      </c>
      <c r="D38" s="31" t="s">
        <v>18</v>
      </c>
      <c r="E38" s="73">
        <v>428140</v>
      </c>
      <c r="F38" s="73"/>
      <c r="G38" s="73">
        <f t="shared" si="0"/>
        <v>3436320</v>
      </c>
      <c r="H38" s="27"/>
    </row>
    <row r="39" spans="1:8" x14ac:dyDescent="0.25">
      <c r="A39" s="90">
        <v>46172</v>
      </c>
      <c r="B39" s="27" t="s">
        <v>134</v>
      </c>
      <c r="C39" s="27">
        <v>1</v>
      </c>
      <c r="D39" s="34" t="s">
        <v>12</v>
      </c>
      <c r="E39" s="73"/>
      <c r="F39" s="73">
        <v>796500</v>
      </c>
      <c r="G39" s="73">
        <f t="shared" si="0"/>
        <v>2639820</v>
      </c>
      <c r="H39" s="27"/>
    </row>
    <row r="40" spans="1:8" x14ac:dyDescent="0.25">
      <c r="A40" s="92"/>
      <c r="B40" s="27" t="s">
        <v>77</v>
      </c>
      <c r="C40" s="27" t="s">
        <v>9</v>
      </c>
      <c r="D40" s="36" t="s">
        <v>10</v>
      </c>
      <c r="E40" s="73"/>
      <c r="F40" s="73">
        <v>3000</v>
      </c>
      <c r="G40" s="73">
        <f t="shared" si="0"/>
        <v>2636820</v>
      </c>
      <c r="H40" s="27"/>
    </row>
    <row r="41" spans="1:8" x14ac:dyDescent="0.25">
      <c r="A41" s="92"/>
      <c r="B41" s="27" t="s">
        <v>146</v>
      </c>
      <c r="C41" s="27">
        <v>1</v>
      </c>
      <c r="D41" s="34" t="s">
        <v>12</v>
      </c>
      <c r="E41" s="73"/>
      <c r="F41" s="73">
        <v>169112</v>
      </c>
      <c r="G41" s="73">
        <f t="shared" si="0"/>
        <v>2467708</v>
      </c>
      <c r="H41" s="27"/>
    </row>
    <row r="42" spans="1:8" x14ac:dyDescent="0.25">
      <c r="A42" s="92"/>
      <c r="B42" s="27" t="s">
        <v>77</v>
      </c>
      <c r="C42" s="27" t="s">
        <v>9</v>
      </c>
      <c r="D42" s="36" t="s">
        <v>10</v>
      </c>
      <c r="E42" s="73"/>
      <c r="F42" s="73">
        <v>1000</v>
      </c>
      <c r="G42" s="73">
        <f t="shared" si="0"/>
        <v>2466708</v>
      </c>
      <c r="H42" s="27"/>
    </row>
    <row r="43" spans="1:8" x14ac:dyDescent="0.25">
      <c r="A43" s="90">
        <v>46173</v>
      </c>
      <c r="B43" s="27" t="s">
        <v>144</v>
      </c>
      <c r="C43" s="27">
        <v>1</v>
      </c>
      <c r="D43" s="32" t="s">
        <v>18</v>
      </c>
      <c r="E43" s="73">
        <v>13500000</v>
      </c>
      <c r="F43" s="73"/>
      <c r="G43" s="73">
        <f t="shared" si="0"/>
        <v>15966708</v>
      </c>
      <c r="H43" s="27"/>
    </row>
    <row r="44" spans="1:8" x14ac:dyDescent="0.25">
      <c r="A44" s="92"/>
      <c r="B44" s="27" t="s">
        <v>143</v>
      </c>
      <c r="C44" s="27" t="s">
        <v>9</v>
      </c>
      <c r="D44" s="39" t="s">
        <v>10</v>
      </c>
      <c r="E44" s="73"/>
      <c r="F44" s="73">
        <v>100000</v>
      </c>
      <c r="G44" s="73">
        <f t="shared" si="0"/>
        <v>15866708</v>
      </c>
      <c r="H44" s="27"/>
    </row>
    <row r="45" spans="1:8" x14ac:dyDescent="0.25">
      <c r="A45" s="92"/>
      <c r="B45" s="27" t="s">
        <v>77</v>
      </c>
      <c r="C45" s="27" t="s">
        <v>9</v>
      </c>
      <c r="D45" s="36" t="s">
        <v>10</v>
      </c>
      <c r="E45" s="73"/>
      <c r="F45" s="73">
        <v>2500</v>
      </c>
      <c r="G45" s="73">
        <f t="shared" si="0"/>
        <v>15864208</v>
      </c>
      <c r="H45" s="27"/>
    </row>
    <row r="46" spans="1:8" x14ac:dyDescent="0.25">
      <c r="A46" s="92"/>
      <c r="B46" s="27" t="s">
        <v>147</v>
      </c>
      <c r="C46" s="27">
        <v>1</v>
      </c>
      <c r="D46" s="35" t="s">
        <v>12</v>
      </c>
      <c r="E46" s="73"/>
      <c r="F46" s="73">
        <v>11500000</v>
      </c>
      <c r="G46" s="73">
        <f t="shared" si="0"/>
        <v>4364208</v>
      </c>
      <c r="H46" s="27"/>
    </row>
    <row r="47" spans="1:8" x14ac:dyDescent="0.25">
      <c r="A47" s="92"/>
      <c r="B47" s="27" t="s">
        <v>77</v>
      </c>
      <c r="C47" s="27"/>
      <c r="D47" s="36" t="s">
        <v>10</v>
      </c>
      <c r="E47" s="73"/>
      <c r="F47" s="73">
        <v>6000</v>
      </c>
      <c r="G47" s="73">
        <f t="shared" si="0"/>
        <v>4358208</v>
      </c>
      <c r="H47" s="27"/>
    </row>
    <row r="48" spans="1:8" x14ac:dyDescent="0.25">
      <c r="A48" s="92"/>
      <c r="B48" s="27" t="s">
        <v>136</v>
      </c>
      <c r="C48" s="27">
        <v>1</v>
      </c>
      <c r="D48" s="32" t="s">
        <v>18</v>
      </c>
      <c r="E48" s="73">
        <v>17500000</v>
      </c>
      <c r="F48" s="73"/>
      <c r="G48" s="73">
        <f t="shared" si="0"/>
        <v>21858208</v>
      </c>
      <c r="H48" s="27"/>
    </row>
    <row r="49" spans="1:8" x14ac:dyDescent="0.25">
      <c r="A49" s="27"/>
      <c r="B49" s="27"/>
      <c r="C49" s="27"/>
      <c r="D49" s="27"/>
      <c r="E49" s="73"/>
      <c r="F49" s="73"/>
      <c r="G49" s="73"/>
      <c r="H49" s="27"/>
    </row>
    <row r="50" spans="1:8" x14ac:dyDescent="0.25">
      <c r="A50" s="27"/>
      <c r="B50" s="27"/>
      <c r="C50" s="27"/>
      <c r="D50" s="27"/>
      <c r="E50" s="73"/>
      <c r="F50" s="73"/>
      <c r="G50" s="73"/>
      <c r="H50" s="27"/>
    </row>
    <row r="51" spans="1:8" x14ac:dyDescent="0.25">
      <c r="E51" s="75"/>
      <c r="F51" s="75"/>
      <c r="G51" s="75"/>
    </row>
    <row r="52" spans="1:8" x14ac:dyDescent="0.25">
      <c r="E52" s="75"/>
      <c r="F52" s="75"/>
      <c r="G52" s="75"/>
    </row>
    <row r="53" spans="1:8" x14ac:dyDescent="0.25">
      <c r="E53" s="75"/>
      <c r="F53" s="75"/>
      <c r="G53" s="75"/>
    </row>
    <row r="54" spans="1:8" x14ac:dyDescent="0.25">
      <c r="E54" s="75"/>
      <c r="F54" s="75"/>
      <c r="G54" s="75"/>
    </row>
    <row r="55" spans="1:8" x14ac:dyDescent="0.25">
      <c r="E55" s="75"/>
      <c r="F55" s="75"/>
      <c r="G55" s="75"/>
    </row>
    <row r="56" spans="1:8" x14ac:dyDescent="0.25">
      <c r="E56" s="75"/>
      <c r="F56" s="75"/>
      <c r="G56" s="75"/>
    </row>
    <row r="57" spans="1:8" x14ac:dyDescent="0.25">
      <c r="E57" s="75"/>
      <c r="F57" s="75"/>
      <c r="G57" s="75"/>
    </row>
    <row r="58" spans="1:8" x14ac:dyDescent="0.25">
      <c r="E58" s="75"/>
      <c r="F58" s="75"/>
      <c r="G58" s="75"/>
    </row>
    <row r="59" spans="1:8" x14ac:dyDescent="0.25">
      <c r="E59" s="75"/>
      <c r="F59" s="75"/>
      <c r="G59" s="75"/>
    </row>
    <row r="60" spans="1:8" x14ac:dyDescent="0.25">
      <c r="E60" s="75"/>
      <c r="F60" s="75"/>
      <c r="G60" s="75"/>
    </row>
  </sheetData>
  <mergeCells count="13">
    <mergeCell ref="A43:A48"/>
    <mergeCell ref="A11:A13"/>
    <mergeCell ref="A39:A42"/>
    <mergeCell ref="A16:A17"/>
    <mergeCell ref="A2:A3"/>
    <mergeCell ref="A6:A7"/>
    <mergeCell ref="A30:A31"/>
    <mergeCell ref="A23:A28"/>
    <mergeCell ref="A36:A38"/>
    <mergeCell ref="A32:A33"/>
    <mergeCell ref="A34:A35"/>
    <mergeCell ref="A9:A10"/>
    <mergeCell ref="A20:A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8"/>
  <sheetViews>
    <sheetView topLeftCell="A14" workbookViewId="0">
      <selection activeCell="D15" sqref="D15"/>
    </sheetView>
  </sheetViews>
  <sheetFormatPr defaultRowHeight="15" x14ac:dyDescent="0.25"/>
  <cols>
    <col min="1" max="1" width="10.7109375" style="68" bestFit="1" customWidth="1"/>
    <col min="2" max="2" width="44.42578125" style="68" bestFit="1" customWidth="1"/>
    <col min="3" max="3" width="7.7109375" style="68" bestFit="1" customWidth="1"/>
    <col min="4" max="4" width="11.5703125" style="68" bestFit="1" customWidth="1"/>
    <col min="5" max="7" width="16.5703125" style="68" bestFit="1" customWidth="1"/>
    <col min="8" max="8" width="14" style="68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3" x14ac:dyDescent="0.25">
      <c r="A2" s="66">
        <v>46174</v>
      </c>
      <c r="B2" s="27" t="s">
        <v>28</v>
      </c>
      <c r="C2" s="27" t="s">
        <v>9</v>
      </c>
      <c r="D2" s="29" t="s">
        <v>10</v>
      </c>
      <c r="E2" s="73">
        <v>21858208</v>
      </c>
      <c r="F2" s="73"/>
      <c r="G2" s="73">
        <f>E2</f>
        <v>21858208</v>
      </c>
      <c r="H2" s="27"/>
    </row>
    <row r="3" spans="1:13" x14ac:dyDescent="0.25">
      <c r="A3" s="90">
        <v>46175</v>
      </c>
      <c r="B3" s="27" t="s">
        <v>148</v>
      </c>
      <c r="C3" s="27" t="s">
        <v>9</v>
      </c>
      <c r="D3" s="31" t="s">
        <v>18</v>
      </c>
      <c r="E3" s="73">
        <v>169112</v>
      </c>
      <c r="F3" s="73"/>
      <c r="G3" s="73">
        <f t="shared" ref="G3:G46" si="0">G2+E3-F3</f>
        <v>22027320</v>
      </c>
      <c r="H3" s="27"/>
    </row>
    <row r="4" spans="1:13" x14ac:dyDescent="0.25">
      <c r="A4" s="92"/>
      <c r="B4" s="27" t="s">
        <v>109</v>
      </c>
      <c r="C4" s="27">
        <v>2</v>
      </c>
      <c r="D4" s="34" t="s">
        <v>12</v>
      </c>
      <c r="E4" s="73"/>
      <c r="F4" s="73">
        <v>80898</v>
      </c>
      <c r="G4" s="73">
        <f t="shared" si="0"/>
        <v>21946422</v>
      </c>
      <c r="H4" s="27"/>
    </row>
    <row r="5" spans="1:13" x14ac:dyDescent="0.25">
      <c r="A5" s="90">
        <v>46057</v>
      </c>
      <c r="B5" s="27" t="s">
        <v>109</v>
      </c>
      <c r="C5" s="27">
        <v>1</v>
      </c>
      <c r="D5" s="34" t="s">
        <v>12</v>
      </c>
      <c r="E5" s="73"/>
      <c r="F5" s="73">
        <v>41599</v>
      </c>
      <c r="G5" s="73">
        <f t="shared" si="0"/>
        <v>21904823</v>
      </c>
      <c r="H5" s="27"/>
      <c r="K5" t="s">
        <v>84</v>
      </c>
      <c r="L5" s="13" t="s">
        <v>85</v>
      </c>
      <c r="M5" t="s">
        <v>86</v>
      </c>
    </row>
    <row r="6" spans="1:13" x14ac:dyDescent="0.25">
      <c r="A6" s="92"/>
      <c r="B6" s="27" t="s">
        <v>77</v>
      </c>
      <c r="C6" s="27" t="s">
        <v>9</v>
      </c>
      <c r="D6" s="36" t="s">
        <v>10</v>
      </c>
      <c r="E6" s="73"/>
      <c r="F6" s="73">
        <v>4000</v>
      </c>
      <c r="G6" s="73">
        <f t="shared" si="0"/>
        <v>21900823</v>
      </c>
      <c r="H6" s="27"/>
      <c r="L6" s="14" t="s">
        <v>88</v>
      </c>
      <c r="M6" t="s">
        <v>89</v>
      </c>
    </row>
    <row r="7" spans="1:13" x14ac:dyDescent="0.25">
      <c r="A7" s="90">
        <v>46178</v>
      </c>
      <c r="B7" s="27" t="s">
        <v>149</v>
      </c>
      <c r="C7" s="27">
        <v>1</v>
      </c>
      <c r="D7" s="35" t="s">
        <v>12</v>
      </c>
      <c r="E7" s="73"/>
      <c r="F7" s="73">
        <v>12850000</v>
      </c>
      <c r="G7" s="73">
        <f t="shared" si="0"/>
        <v>9050823</v>
      </c>
      <c r="H7" s="27"/>
      <c r="L7" s="15" t="s">
        <v>91</v>
      </c>
      <c r="M7" t="s">
        <v>92</v>
      </c>
    </row>
    <row r="8" spans="1:13" x14ac:dyDescent="0.25">
      <c r="A8" s="92"/>
      <c r="B8" s="27" t="s">
        <v>77</v>
      </c>
      <c r="C8" s="27" t="s">
        <v>9</v>
      </c>
      <c r="D8" s="36" t="s">
        <v>10</v>
      </c>
      <c r="E8" s="73"/>
      <c r="F8" s="73">
        <v>2500</v>
      </c>
      <c r="G8" s="73">
        <f t="shared" si="0"/>
        <v>9048323</v>
      </c>
      <c r="H8" s="27"/>
      <c r="L8" s="16" t="s">
        <v>93</v>
      </c>
      <c r="M8" t="s">
        <v>94</v>
      </c>
    </row>
    <row r="9" spans="1:13" x14ac:dyDescent="0.25">
      <c r="A9" s="90">
        <v>46179</v>
      </c>
      <c r="B9" s="27" t="s">
        <v>150</v>
      </c>
      <c r="C9" s="27">
        <v>1</v>
      </c>
      <c r="D9" s="34" t="s">
        <v>12</v>
      </c>
      <c r="E9" s="73"/>
      <c r="F9" s="73">
        <v>17426</v>
      </c>
      <c r="G9" s="73">
        <f t="shared" si="0"/>
        <v>9030897</v>
      </c>
      <c r="H9" s="27"/>
      <c r="L9" s="17" t="s">
        <v>95</v>
      </c>
      <c r="M9" t="s">
        <v>77</v>
      </c>
    </row>
    <row r="10" spans="1:13" x14ac:dyDescent="0.25">
      <c r="A10" s="92"/>
      <c r="B10" s="27" t="s">
        <v>109</v>
      </c>
      <c r="C10" s="27">
        <v>3</v>
      </c>
      <c r="D10" s="34" t="s">
        <v>12</v>
      </c>
      <c r="E10" s="73"/>
      <c r="F10" s="73">
        <v>159099</v>
      </c>
      <c r="G10" s="73">
        <f t="shared" si="0"/>
        <v>8871798</v>
      </c>
      <c r="H10" s="27"/>
      <c r="L10" s="18" t="s">
        <v>97</v>
      </c>
      <c r="M10" t="s">
        <v>56</v>
      </c>
    </row>
    <row r="11" spans="1:13" x14ac:dyDescent="0.25">
      <c r="A11" s="92"/>
      <c r="B11" s="27" t="s">
        <v>70</v>
      </c>
      <c r="C11" s="27" t="s">
        <v>9</v>
      </c>
      <c r="D11" s="31" t="s">
        <v>18</v>
      </c>
      <c r="E11" s="73">
        <v>794000</v>
      </c>
      <c r="F11" s="73"/>
      <c r="G11" s="73">
        <f t="shared" si="0"/>
        <v>9665798</v>
      </c>
      <c r="H11" s="27"/>
      <c r="L11" s="19" t="s">
        <v>99</v>
      </c>
      <c r="M11" t="s">
        <v>100</v>
      </c>
    </row>
    <row r="12" spans="1:13" x14ac:dyDescent="0.25">
      <c r="A12" s="90">
        <v>46180</v>
      </c>
      <c r="B12" s="27" t="s">
        <v>132</v>
      </c>
      <c r="C12" s="27" t="s">
        <v>9</v>
      </c>
      <c r="D12" s="37" t="s">
        <v>10</v>
      </c>
      <c r="E12" s="73"/>
      <c r="F12" s="73">
        <v>13000</v>
      </c>
      <c r="G12" s="73">
        <f t="shared" si="0"/>
        <v>9652798</v>
      </c>
      <c r="H12" s="27"/>
      <c r="L12" s="23" t="s">
        <v>111</v>
      </c>
      <c r="M12" t="s">
        <v>112</v>
      </c>
    </row>
    <row r="13" spans="1:13" x14ac:dyDescent="0.25">
      <c r="A13" s="92"/>
      <c r="B13" s="27" t="s">
        <v>151</v>
      </c>
      <c r="C13" s="27">
        <v>1</v>
      </c>
      <c r="D13" s="34" t="s">
        <v>12</v>
      </c>
      <c r="E13" s="73"/>
      <c r="F13" s="73">
        <v>140540</v>
      </c>
      <c r="G13" s="73">
        <f t="shared" si="0"/>
        <v>9512258</v>
      </c>
      <c r="H13" s="27"/>
      <c r="L13" s="26" t="s">
        <v>113</v>
      </c>
      <c r="M13" t="s">
        <v>114</v>
      </c>
    </row>
    <row r="14" spans="1:13" x14ac:dyDescent="0.25">
      <c r="A14" s="90">
        <v>46181</v>
      </c>
      <c r="B14" s="27" t="s">
        <v>147</v>
      </c>
      <c r="C14" s="27">
        <v>1</v>
      </c>
      <c r="D14" s="32" t="s">
        <v>18</v>
      </c>
      <c r="E14" s="73">
        <v>11900000</v>
      </c>
      <c r="F14" s="73"/>
      <c r="G14" s="73">
        <f t="shared" si="0"/>
        <v>21412258</v>
      </c>
      <c r="H14" s="27"/>
    </row>
    <row r="15" spans="1:13" x14ac:dyDescent="0.25">
      <c r="A15" s="92"/>
      <c r="B15" s="27" t="s">
        <v>152</v>
      </c>
      <c r="C15" s="27">
        <v>1</v>
      </c>
      <c r="D15" s="35" t="s">
        <v>12</v>
      </c>
      <c r="E15" s="73"/>
      <c r="F15" s="73">
        <v>6500000</v>
      </c>
      <c r="G15" s="73">
        <f t="shared" si="0"/>
        <v>14912258</v>
      </c>
      <c r="H15" s="27"/>
    </row>
    <row r="16" spans="1:13" x14ac:dyDescent="0.25">
      <c r="A16" s="66">
        <v>46182</v>
      </c>
      <c r="B16" s="27" t="s">
        <v>153</v>
      </c>
      <c r="C16" s="27" t="s">
        <v>9</v>
      </c>
      <c r="D16" s="31" t="s">
        <v>18</v>
      </c>
      <c r="E16" s="73">
        <v>150000</v>
      </c>
      <c r="F16" s="73"/>
      <c r="G16" s="73">
        <f t="shared" si="0"/>
        <v>15062258</v>
      </c>
      <c r="H16" s="27"/>
    </row>
    <row r="17" spans="1:8" x14ac:dyDescent="0.25">
      <c r="A17" s="90">
        <v>46183</v>
      </c>
      <c r="B17" s="27" t="s">
        <v>154</v>
      </c>
      <c r="C17" s="27" t="s">
        <v>9</v>
      </c>
      <c r="D17" s="37" t="s">
        <v>10</v>
      </c>
      <c r="E17" s="73"/>
      <c r="F17" s="73">
        <v>241237</v>
      </c>
      <c r="G17" s="73">
        <f t="shared" si="0"/>
        <v>14821021</v>
      </c>
      <c r="H17" s="27"/>
    </row>
    <row r="18" spans="1:8" x14ac:dyDescent="0.25">
      <c r="A18" s="92"/>
      <c r="B18" s="27" t="s">
        <v>70</v>
      </c>
      <c r="C18" s="27" t="s">
        <v>9</v>
      </c>
      <c r="D18" s="31" t="s">
        <v>18</v>
      </c>
      <c r="E18" s="73">
        <v>270528</v>
      </c>
      <c r="F18" s="73"/>
      <c r="G18" s="73">
        <f t="shared" si="0"/>
        <v>15091549</v>
      </c>
      <c r="H18" s="27"/>
    </row>
    <row r="19" spans="1:8" x14ac:dyDescent="0.25">
      <c r="A19" s="90">
        <v>46184</v>
      </c>
      <c r="B19" s="27" t="s">
        <v>152</v>
      </c>
      <c r="C19" s="27">
        <v>1</v>
      </c>
      <c r="D19" s="32" t="s">
        <v>18</v>
      </c>
      <c r="E19" s="73">
        <v>7350000</v>
      </c>
      <c r="F19" s="73"/>
      <c r="G19" s="73">
        <f t="shared" si="0"/>
        <v>22441549</v>
      </c>
      <c r="H19" s="27"/>
    </row>
    <row r="20" spans="1:8" x14ac:dyDescent="0.25">
      <c r="A20" s="92"/>
      <c r="B20" s="27" t="s">
        <v>155</v>
      </c>
      <c r="C20" s="27" t="s">
        <v>9</v>
      </c>
      <c r="D20" s="39" t="s">
        <v>10</v>
      </c>
      <c r="E20" s="73"/>
      <c r="F20" s="73">
        <v>100000</v>
      </c>
      <c r="G20" s="73">
        <f t="shared" si="0"/>
        <v>22341549</v>
      </c>
      <c r="H20" s="27"/>
    </row>
    <row r="21" spans="1:8" x14ac:dyDescent="0.25">
      <c r="A21" s="92"/>
      <c r="B21" s="27" t="s">
        <v>77</v>
      </c>
      <c r="C21" s="27" t="s">
        <v>9</v>
      </c>
      <c r="D21" s="36" t="s">
        <v>10</v>
      </c>
      <c r="E21" s="73"/>
      <c r="F21" s="73">
        <v>2500</v>
      </c>
      <c r="G21" s="73">
        <f t="shared" si="0"/>
        <v>22339049</v>
      </c>
      <c r="H21" s="27"/>
    </row>
    <row r="22" spans="1:8" x14ac:dyDescent="0.25">
      <c r="A22" s="90">
        <v>46185</v>
      </c>
      <c r="B22" s="27" t="s">
        <v>156</v>
      </c>
      <c r="C22" s="27">
        <v>1</v>
      </c>
      <c r="D22" s="35" t="s">
        <v>12</v>
      </c>
      <c r="E22" s="73"/>
      <c r="F22" s="73">
        <v>3300000</v>
      </c>
      <c r="G22" s="73">
        <f t="shared" si="0"/>
        <v>19039049</v>
      </c>
      <c r="H22" s="27"/>
    </row>
    <row r="23" spans="1:8" x14ac:dyDescent="0.25">
      <c r="A23" s="92"/>
      <c r="B23" s="27" t="s">
        <v>77</v>
      </c>
      <c r="C23" s="27" t="s">
        <v>9</v>
      </c>
      <c r="D23" s="36" t="s">
        <v>10</v>
      </c>
      <c r="E23" s="73"/>
      <c r="F23" s="73">
        <v>5000</v>
      </c>
      <c r="G23" s="73">
        <f t="shared" si="0"/>
        <v>19034049</v>
      </c>
      <c r="H23" s="27"/>
    </row>
    <row r="24" spans="1:8" x14ac:dyDescent="0.25">
      <c r="A24" s="90">
        <v>46187</v>
      </c>
      <c r="B24" s="27" t="s">
        <v>157</v>
      </c>
      <c r="C24" s="27">
        <v>1</v>
      </c>
      <c r="D24" s="35" t="s">
        <v>12</v>
      </c>
      <c r="E24" s="73"/>
      <c r="F24" s="73">
        <v>13650000</v>
      </c>
      <c r="G24" s="73">
        <f t="shared" si="0"/>
        <v>5384049</v>
      </c>
      <c r="H24" s="27"/>
    </row>
    <row r="25" spans="1:8" x14ac:dyDescent="0.25">
      <c r="A25" s="92"/>
      <c r="B25" s="27" t="s">
        <v>77</v>
      </c>
      <c r="C25" s="27" t="s">
        <v>9</v>
      </c>
      <c r="D25" s="36" t="s">
        <v>10</v>
      </c>
      <c r="E25" s="73"/>
      <c r="F25" s="73">
        <v>2500</v>
      </c>
      <c r="G25" s="73">
        <f t="shared" si="0"/>
        <v>5381549</v>
      </c>
      <c r="H25" s="27"/>
    </row>
    <row r="26" spans="1:8" x14ac:dyDescent="0.25">
      <c r="A26" s="92"/>
      <c r="B26" s="27" t="s">
        <v>109</v>
      </c>
      <c r="C26" s="27">
        <v>2</v>
      </c>
      <c r="D26" s="34" t="s">
        <v>12</v>
      </c>
      <c r="E26" s="73"/>
      <c r="F26" s="73">
        <v>93297</v>
      </c>
      <c r="G26" s="73">
        <f t="shared" si="0"/>
        <v>5288252</v>
      </c>
      <c r="H26" s="27"/>
    </row>
    <row r="27" spans="1:8" x14ac:dyDescent="0.25">
      <c r="A27" s="66">
        <v>46188</v>
      </c>
      <c r="B27" s="27" t="s">
        <v>132</v>
      </c>
      <c r="C27" s="27" t="s">
        <v>9</v>
      </c>
      <c r="D27" s="37" t="s">
        <v>10</v>
      </c>
      <c r="E27" s="73"/>
      <c r="F27" s="73">
        <v>42468</v>
      </c>
      <c r="G27" s="73">
        <f t="shared" si="0"/>
        <v>5245784</v>
      </c>
      <c r="H27" s="27"/>
    </row>
    <row r="28" spans="1:8" x14ac:dyDescent="0.25">
      <c r="A28" s="66">
        <v>46189</v>
      </c>
      <c r="B28" s="27" t="s">
        <v>158</v>
      </c>
      <c r="C28" s="27">
        <v>2</v>
      </c>
      <c r="D28" s="34" t="s">
        <v>12</v>
      </c>
      <c r="E28" s="73"/>
      <c r="F28" s="73">
        <v>153398</v>
      </c>
      <c r="G28" s="73">
        <f t="shared" si="0"/>
        <v>5092386</v>
      </c>
      <c r="H28" s="27"/>
    </row>
    <row r="29" spans="1:8" x14ac:dyDescent="0.25">
      <c r="A29" s="90">
        <v>46190</v>
      </c>
      <c r="B29" s="27" t="s">
        <v>157</v>
      </c>
      <c r="C29" s="27">
        <v>1</v>
      </c>
      <c r="D29" s="32" t="s">
        <v>18</v>
      </c>
      <c r="E29" s="73">
        <v>14300000</v>
      </c>
      <c r="F29" s="73"/>
      <c r="G29" s="73">
        <f t="shared" si="0"/>
        <v>19392386</v>
      </c>
      <c r="H29" s="27"/>
    </row>
    <row r="30" spans="1:8" x14ac:dyDescent="0.25">
      <c r="A30" s="92"/>
      <c r="B30" s="27" t="s">
        <v>70</v>
      </c>
      <c r="C30" s="27" t="s">
        <v>9</v>
      </c>
      <c r="D30" s="31" t="s">
        <v>18</v>
      </c>
      <c r="E30" s="73">
        <v>224056</v>
      </c>
      <c r="F30" s="73"/>
      <c r="G30" s="73">
        <f t="shared" si="0"/>
        <v>19616442</v>
      </c>
      <c r="H30" s="27"/>
    </row>
    <row r="31" spans="1:8" x14ac:dyDescent="0.25">
      <c r="A31" s="90">
        <v>46191</v>
      </c>
      <c r="B31" s="27" t="s">
        <v>155</v>
      </c>
      <c r="C31" s="27" t="s">
        <v>9</v>
      </c>
      <c r="D31" s="39" t="s">
        <v>10</v>
      </c>
      <c r="E31" s="73"/>
      <c r="F31" s="73">
        <v>100000</v>
      </c>
      <c r="G31" s="73">
        <f t="shared" si="0"/>
        <v>19516442</v>
      </c>
      <c r="H31" s="27"/>
    </row>
    <row r="32" spans="1:8" x14ac:dyDescent="0.25">
      <c r="A32" s="92"/>
      <c r="B32" s="27" t="s">
        <v>77</v>
      </c>
      <c r="C32" s="27" t="s">
        <v>9</v>
      </c>
      <c r="D32" s="36" t="s">
        <v>10</v>
      </c>
      <c r="E32" s="73"/>
      <c r="F32" s="73">
        <v>2500</v>
      </c>
      <c r="G32" s="73">
        <f t="shared" si="0"/>
        <v>19513942</v>
      </c>
      <c r="H32" s="27"/>
    </row>
    <row r="33" spans="1:8" x14ac:dyDescent="0.25">
      <c r="A33" s="92"/>
      <c r="B33" s="27" t="s">
        <v>144</v>
      </c>
      <c r="C33" s="27">
        <v>1</v>
      </c>
      <c r="D33" s="35" t="s">
        <v>12</v>
      </c>
      <c r="E33" s="73"/>
      <c r="F33" s="73">
        <v>12500000</v>
      </c>
      <c r="G33" s="73">
        <f t="shared" si="0"/>
        <v>7013942</v>
      </c>
      <c r="H33" s="27"/>
    </row>
    <row r="34" spans="1:8" x14ac:dyDescent="0.25">
      <c r="A34" s="92"/>
      <c r="B34" s="27" t="s">
        <v>77</v>
      </c>
      <c r="C34" s="27" t="s">
        <v>9</v>
      </c>
      <c r="D34" s="36" t="s">
        <v>10</v>
      </c>
      <c r="E34" s="73"/>
      <c r="F34" s="73">
        <v>2500</v>
      </c>
      <c r="G34" s="73">
        <f t="shared" si="0"/>
        <v>7011442</v>
      </c>
      <c r="H34" s="27"/>
    </row>
    <row r="35" spans="1:8" x14ac:dyDescent="0.25">
      <c r="A35" s="92"/>
      <c r="B35" s="27" t="s">
        <v>159</v>
      </c>
      <c r="C35" s="27">
        <v>2</v>
      </c>
      <c r="D35" s="34" t="s">
        <v>12</v>
      </c>
      <c r="E35" s="73"/>
      <c r="F35" s="73">
        <v>76799</v>
      </c>
      <c r="G35" s="73">
        <f t="shared" si="0"/>
        <v>6934643</v>
      </c>
      <c r="H35" s="27"/>
    </row>
    <row r="36" spans="1:8" x14ac:dyDescent="0.25">
      <c r="A36" s="92"/>
      <c r="B36" s="27" t="s">
        <v>149</v>
      </c>
      <c r="C36" s="27">
        <v>1</v>
      </c>
      <c r="D36" s="32" t="s">
        <v>18</v>
      </c>
      <c r="E36" s="73">
        <v>13800000</v>
      </c>
      <c r="F36" s="73"/>
      <c r="G36" s="73">
        <f t="shared" si="0"/>
        <v>20734643</v>
      </c>
      <c r="H36" s="27"/>
    </row>
    <row r="37" spans="1:8" x14ac:dyDescent="0.25">
      <c r="A37" s="92"/>
      <c r="B37" s="27" t="s">
        <v>155</v>
      </c>
      <c r="C37" s="27" t="s">
        <v>9</v>
      </c>
      <c r="D37" s="39" t="s">
        <v>10</v>
      </c>
      <c r="E37" s="73"/>
      <c r="F37" s="73">
        <v>45400</v>
      </c>
      <c r="G37" s="73">
        <f t="shared" si="0"/>
        <v>20689243</v>
      </c>
      <c r="H37" s="27"/>
    </row>
    <row r="38" spans="1:8" x14ac:dyDescent="0.25">
      <c r="A38" s="66">
        <v>46192</v>
      </c>
      <c r="B38" s="27" t="s">
        <v>156</v>
      </c>
      <c r="C38" s="27">
        <v>1</v>
      </c>
      <c r="D38" s="32" t="s">
        <v>18</v>
      </c>
      <c r="E38" s="73">
        <v>3300000</v>
      </c>
      <c r="F38" s="73"/>
      <c r="G38" s="73">
        <f t="shared" si="0"/>
        <v>23989243</v>
      </c>
      <c r="H38" s="27"/>
    </row>
    <row r="39" spans="1:8" x14ac:dyDescent="0.25">
      <c r="A39" s="90">
        <v>46193</v>
      </c>
      <c r="B39" s="27" t="s">
        <v>149</v>
      </c>
      <c r="C39" s="27">
        <v>1</v>
      </c>
      <c r="D39" s="35" t="s">
        <v>12</v>
      </c>
      <c r="E39" s="73"/>
      <c r="F39" s="73">
        <v>12800000</v>
      </c>
      <c r="G39" s="73">
        <f t="shared" si="0"/>
        <v>11189243</v>
      </c>
      <c r="H39" s="27"/>
    </row>
    <row r="40" spans="1:8" x14ac:dyDescent="0.25">
      <c r="A40" s="92"/>
      <c r="B40" s="27" t="s">
        <v>77</v>
      </c>
      <c r="C40" s="27" t="s">
        <v>9</v>
      </c>
      <c r="D40" s="36" t="s">
        <v>10</v>
      </c>
      <c r="E40" s="73"/>
      <c r="F40" s="73">
        <v>2500</v>
      </c>
      <c r="G40" s="73">
        <f t="shared" si="0"/>
        <v>11186743</v>
      </c>
      <c r="H40" s="27"/>
    </row>
    <row r="41" spans="1:8" x14ac:dyDescent="0.25">
      <c r="A41" s="92"/>
      <c r="B41" s="27" t="s">
        <v>150</v>
      </c>
      <c r="C41" s="27">
        <v>1</v>
      </c>
      <c r="D41" s="34" t="s">
        <v>12</v>
      </c>
      <c r="E41" s="73"/>
      <c r="F41" s="73">
        <v>32999</v>
      </c>
      <c r="G41" s="73">
        <f t="shared" si="0"/>
        <v>11153744</v>
      </c>
      <c r="H41" s="27"/>
    </row>
    <row r="42" spans="1:8" x14ac:dyDescent="0.25">
      <c r="A42" s="66">
        <v>46197</v>
      </c>
      <c r="B42" s="27" t="s">
        <v>150</v>
      </c>
      <c r="C42" s="27">
        <v>2</v>
      </c>
      <c r="D42" s="34" t="s">
        <v>12</v>
      </c>
      <c r="E42" s="73"/>
      <c r="F42" s="73">
        <v>84698</v>
      </c>
      <c r="G42" s="73">
        <f t="shared" si="0"/>
        <v>11069046</v>
      </c>
      <c r="H42" s="27"/>
    </row>
    <row r="43" spans="1:8" x14ac:dyDescent="0.25">
      <c r="A43" s="90">
        <v>46198</v>
      </c>
      <c r="B43" s="27" t="s">
        <v>56</v>
      </c>
      <c r="C43" s="27" t="s">
        <v>9</v>
      </c>
      <c r="D43" s="42" t="s">
        <v>56</v>
      </c>
      <c r="E43" s="73"/>
      <c r="F43" s="73">
        <v>390000</v>
      </c>
      <c r="G43" s="73">
        <f t="shared" si="0"/>
        <v>10679046</v>
      </c>
      <c r="H43" s="27"/>
    </row>
    <row r="44" spans="1:8" x14ac:dyDescent="0.25">
      <c r="A44" s="92"/>
      <c r="B44" s="27" t="s">
        <v>56</v>
      </c>
      <c r="C44" s="27" t="s">
        <v>9</v>
      </c>
      <c r="D44" s="42" t="s">
        <v>56</v>
      </c>
      <c r="E44" s="73"/>
      <c r="F44" s="73">
        <v>300000</v>
      </c>
      <c r="G44" s="73">
        <f t="shared" si="0"/>
        <v>10379046</v>
      </c>
      <c r="H44" s="27"/>
    </row>
    <row r="45" spans="1:8" x14ac:dyDescent="0.25">
      <c r="A45" s="92"/>
      <c r="B45" s="27" t="s">
        <v>77</v>
      </c>
      <c r="C45" s="27" t="s">
        <v>9</v>
      </c>
      <c r="D45" s="36" t="s">
        <v>10</v>
      </c>
      <c r="E45" s="73"/>
      <c r="F45" s="73">
        <v>9000</v>
      </c>
      <c r="G45" s="73">
        <f t="shared" si="0"/>
        <v>10370046</v>
      </c>
      <c r="H45" s="27"/>
    </row>
    <row r="46" spans="1:8" x14ac:dyDescent="0.25">
      <c r="A46" s="92"/>
      <c r="B46" s="27" t="s">
        <v>77</v>
      </c>
      <c r="C46" s="27" t="s">
        <v>9</v>
      </c>
      <c r="D46" s="36" t="s">
        <v>10</v>
      </c>
      <c r="E46" s="73"/>
      <c r="F46" s="73">
        <v>6000</v>
      </c>
      <c r="G46" s="73">
        <f t="shared" si="0"/>
        <v>10364046</v>
      </c>
      <c r="H46" s="27"/>
    </row>
    <row r="47" spans="1:8" x14ac:dyDescent="0.25">
      <c r="A47" s="92"/>
      <c r="B47" s="27"/>
      <c r="C47" s="27"/>
      <c r="D47" s="27"/>
      <c r="E47" s="73"/>
      <c r="F47" s="73"/>
      <c r="G47" s="73"/>
      <c r="H47" s="27"/>
    </row>
    <row r="48" spans="1:8" x14ac:dyDescent="0.25">
      <c r="A48" s="92"/>
    </row>
  </sheetData>
  <mergeCells count="15">
    <mergeCell ref="A46:A48"/>
    <mergeCell ref="A24:A26"/>
    <mergeCell ref="A14:A15"/>
    <mergeCell ref="A3:A4"/>
    <mergeCell ref="A9:A11"/>
    <mergeCell ref="A19:A21"/>
    <mergeCell ref="A29:A30"/>
    <mergeCell ref="A7:A8"/>
    <mergeCell ref="A5:A6"/>
    <mergeCell ref="A39:A41"/>
    <mergeCell ref="A43:A45"/>
    <mergeCell ref="A17:A18"/>
    <mergeCell ref="A22:A23"/>
    <mergeCell ref="A12:A13"/>
    <mergeCell ref="A31:A3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0"/>
  <sheetViews>
    <sheetView workbookViewId="0">
      <selection activeCell="H14" sqref="H14"/>
    </sheetView>
  </sheetViews>
  <sheetFormatPr defaultRowHeight="15" x14ac:dyDescent="0.25"/>
  <cols>
    <col min="1" max="1" width="10.7109375" style="68" bestFit="1" customWidth="1"/>
    <col min="2" max="2" width="57.140625" style="68" bestFit="1" customWidth="1"/>
    <col min="3" max="3" width="7.7109375" style="68" bestFit="1" customWidth="1"/>
    <col min="4" max="4" width="11.5703125" style="68" bestFit="1" customWidth="1"/>
    <col min="5" max="7" width="16.5703125" style="68" bestFit="1" customWidth="1"/>
    <col min="8" max="8" width="14" style="68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66">
        <v>46204</v>
      </c>
      <c r="B2" s="27" t="s">
        <v>28</v>
      </c>
      <c r="C2" s="27" t="s">
        <v>9</v>
      </c>
      <c r="D2" s="27" t="s">
        <v>10</v>
      </c>
      <c r="E2" s="73">
        <v>10364046</v>
      </c>
      <c r="F2" s="73"/>
      <c r="G2" s="73">
        <v>10364046</v>
      </c>
      <c r="H2" s="27"/>
    </row>
    <row r="3" spans="1:8" x14ac:dyDescent="0.25">
      <c r="A3" s="56">
        <v>46205</v>
      </c>
      <c r="B3" s="44" t="s">
        <v>160</v>
      </c>
      <c r="C3" s="44" t="s">
        <v>9</v>
      </c>
      <c r="D3" s="57" t="s">
        <v>18</v>
      </c>
      <c r="E3" s="83">
        <v>739535</v>
      </c>
      <c r="F3" s="83"/>
      <c r="G3" s="83">
        <f t="shared" ref="G3:G29" si="0">G2+E3-F3</f>
        <v>11103581</v>
      </c>
      <c r="H3" s="27"/>
    </row>
    <row r="4" spans="1:8" x14ac:dyDescent="0.25">
      <c r="A4" s="56">
        <v>46205</v>
      </c>
      <c r="B4" s="44" t="s">
        <v>161</v>
      </c>
      <c r="C4" s="44" t="s">
        <v>9</v>
      </c>
      <c r="D4" s="44" t="s">
        <v>10</v>
      </c>
      <c r="E4" s="83"/>
      <c r="F4" s="83">
        <v>2000000</v>
      </c>
      <c r="G4" s="83">
        <f t="shared" si="0"/>
        <v>9103581</v>
      </c>
      <c r="H4" s="27"/>
    </row>
    <row r="5" spans="1:8" x14ac:dyDescent="0.25">
      <c r="A5" s="56">
        <v>46205</v>
      </c>
      <c r="B5" s="44" t="s">
        <v>77</v>
      </c>
      <c r="C5" s="44" t="s">
        <v>9</v>
      </c>
      <c r="D5" s="58" t="s">
        <v>10</v>
      </c>
      <c r="E5" s="83"/>
      <c r="F5" s="83">
        <v>2500</v>
      </c>
      <c r="G5" s="83">
        <f t="shared" si="0"/>
        <v>9101081</v>
      </c>
      <c r="H5" s="27"/>
    </row>
    <row r="6" spans="1:8" x14ac:dyDescent="0.25">
      <c r="A6" s="56">
        <v>46206</v>
      </c>
      <c r="B6" s="44" t="s">
        <v>77</v>
      </c>
      <c r="C6" s="44" t="s">
        <v>9</v>
      </c>
      <c r="D6" s="58" t="s">
        <v>10</v>
      </c>
      <c r="E6" s="83"/>
      <c r="F6" s="83">
        <v>4000</v>
      </c>
      <c r="G6" s="83">
        <f t="shared" si="0"/>
        <v>9097081</v>
      </c>
      <c r="H6" s="27"/>
    </row>
    <row r="7" spans="1:8" x14ac:dyDescent="0.25">
      <c r="A7" s="56">
        <v>46210</v>
      </c>
      <c r="B7" s="44" t="s">
        <v>162</v>
      </c>
      <c r="C7" s="44" t="s">
        <v>9</v>
      </c>
      <c r="D7" s="57" t="s">
        <v>18</v>
      </c>
      <c r="E7" s="83">
        <v>120237</v>
      </c>
      <c r="F7" s="83"/>
      <c r="G7" s="83">
        <f t="shared" si="0"/>
        <v>9217318</v>
      </c>
      <c r="H7" s="27"/>
    </row>
    <row r="8" spans="1:8" x14ac:dyDescent="0.25">
      <c r="A8" s="56">
        <v>46216</v>
      </c>
      <c r="B8" s="44" t="s">
        <v>163</v>
      </c>
      <c r="C8" s="44" t="s">
        <v>9</v>
      </c>
      <c r="D8" s="57" t="s">
        <v>18</v>
      </c>
      <c r="E8" s="83">
        <v>178454</v>
      </c>
      <c r="F8" s="83"/>
      <c r="G8" s="83">
        <f t="shared" si="0"/>
        <v>9395772</v>
      </c>
      <c r="H8" s="27"/>
    </row>
    <row r="9" spans="1:8" x14ac:dyDescent="0.25">
      <c r="A9" s="56">
        <v>46216</v>
      </c>
      <c r="B9" s="44" t="s">
        <v>164</v>
      </c>
      <c r="C9" s="44">
        <v>1</v>
      </c>
      <c r="D9" s="59" t="s">
        <v>12</v>
      </c>
      <c r="E9" s="83"/>
      <c r="F9" s="83">
        <v>6800000</v>
      </c>
      <c r="G9" s="83">
        <f t="shared" si="0"/>
        <v>2595772</v>
      </c>
      <c r="H9" s="27"/>
    </row>
    <row r="10" spans="1:8" x14ac:dyDescent="0.25">
      <c r="A10" s="56">
        <v>46216</v>
      </c>
      <c r="B10" s="44" t="s">
        <v>165</v>
      </c>
      <c r="C10" s="44">
        <v>1</v>
      </c>
      <c r="D10" s="60" t="s">
        <v>18</v>
      </c>
      <c r="E10" s="83">
        <v>13900000</v>
      </c>
      <c r="F10" s="83"/>
      <c r="G10" s="83">
        <f t="shared" si="0"/>
        <v>16495772</v>
      </c>
      <c r="H10" s="27"/>
    </row>
    <row r="11" spans="1:8" x14ac:dyDescent="0.25">
      <c r="A11" s="56">
        <v>46216</v>
      </c>
      <c r="B11" s="44" t="s">
        <v>138</v>
      </c>
      <c r="C11" s="44" t="s">
        <v>9</v>
      </c>
      <c r="D11" s="61" t="s">
        <v>10</v>
      </c>
      <c r="E11" s="83"/>
      <c r="F11" s="83">
        <v>73900</v>
      </c>
      <c r="G11" s="83">
        <f t="shared" si="0"/>
        <v>16421872</v>
      </c>
      <c r="H11" s="27"/>
    </row>
    <row r="12" spans="1:8" x14ac:dyDescent="0.25">
      <c r="A12" s="56">
        <v>46221</v>
      </c>
      <c r="B12" s="44" t="s">
        <v>166</v>
      </c>
      <c r="C12" s="44">
        <v>1</v>
      </c>
      <c r="D12" s="60" t="s">
        <v>18</v>
      </c>
      <c r="E12" s="83">
        <v>12700000</v>
      </c>
      <c r="F12" s="83"/>
      <c r="G12" s="83">
        <f t="shared" si="0"/>
        <v>29121872</v>
      </c>
      <c r="H12" s="27"/>
    </row>
    <row r="13" spans="1:8" x14ac:dyDescent="0.25">
      <c r="A13" s="56">
        <v>46223</v>
      </c>
      <c r="B13" s="44" t="s">
        <v>167</v>
      </c>
      <c r="C13" s="44">
        <v>1</v>
      </c>
      <c r="D13" s="59" t="s">
        <v>12</v>
      </c>
      <c r="E13" s="83"/>
      <c r="F13" s="83">
        <v>10000000</v>
      </c>
      <c r="G13" s="83">
        <f t="shared" si="0"/>
        <v>19121872</v>
      </c>
      <c r="H13" s="27"/>
    </row>
    <row r="14" spans="1:8" x14ac:dyDescent="0.25">
      <c r="A14" s="56">
        <v>46223</v>
      </c>
      <c r="B14" s="44" t="s">
        <v>51</v>
      </c>
      <c r="C14" s="44" t="s">
        <v>9</v>
      </c>
      <c r="D14" s="62" t="s">
        <v>10</v>
      </c>
      <c r="E14" s="83"/>
      <c r="F14" s="83">
        <v>47000</v>
      </c>
      <c r="G14" s="83">
        <f t="shared" si="0"/>
        <v>19074872</v>
      </c>
      <c r="H14" s="27"/>
    </row>
    <row r="15" spans="1:8" x14ac:dyDescent="0.25">
      <c r="A15" s="56">
        <v>46223</v>
      </c>
      <c r="B15" s="44" t="s">
        <v>77</v>
      </c>
      <c r="C15" s="44" t="s">
        <v>9</v>
      </c>
      <c r="D15" s="58" t="s">
        <v>10</v>
      </c>
      <c r="E15" s="83"/>
      <c r="F15" s="83">
        <v>2500</v>
      </c>
      <c r="G15" s="83">
        <f t="shared" si="0"/>
        <v>19072372</v>
      </c>
      <c r="H15" s="27"/>
    </row>
    <row r="16" spans="1:8" x14ac:dyDescent="0.25">
      <c r="A16" s="56">
        <v>46223</v>
      </c>
      <c r="B16" s="44" t="s">
        <v>168</v>
      </c>
      <c r="C16" s="44" t="s">
        <v>9</v>
      </c>
      <c r="D16" s="61" t="s">
        <v>10</v>
      </c>
      <c r="E16" s="83"/>
      <c r="F16" s="83">
        <v>88999</v>
      </c>
      <c r="G16" s="83">
        <f t="shared" si="0"/>
        <v>18983373</v>
      </c>
      <c r="H16" s="27"/>
    </row>
    <row r="17" spans="1:8" x14ac:dyDescent="0.25">
      <c r="A17" s="56">
        <v>46226</v>
      </c>
      <c r="B17" s="44" t="s">
        <v>169</v>
      </c>
      <c r="C17" s="44">
        <v>1</v>
      </c>
      <c r="D17" s="59" t="s">
        <v>12</v>
      </c>
      <c r="E17" s="83"/>
      <c r="F17" s="83">
        <v>14600000</v>
      </c>
      <c r="G17" s="83">
        <f t="shared" si="0"/>
        <v>4383373</v>
      </c>
      <c r="H17" s="27"/>
    </row>
    <row r="18" spans="1:8" x14ac:dyDescent="0.25">
      <c r="A18" s="56">
        <v>46226</v>
      </c>
      <c r="B18" s="44" t="s">
        <v>77</v>
      </c>
      <c r="C18" s="44" t="s">
        <v>9</v>
      </c>
      <c r="D18" s="58" t="s">
        <v>10</v>
      </c>
      <c r="E18" s="83"/>
      <c r="F18" s="83">
        <v>2500</v>
      </c>
      <c r="G18" s="83">
        <f t="shared" si="0"/>
        <v>4380873</v>
      </c>
      <c r="H18" s="27"/>
    </row>
    <row r="19" spans="1:8" x14ac:dyDescent="0.25">
      <c r="A19" s="56">
        <v>46226</v>
      </c>
      <c r="B19" s="44" t="s">
        <v>51</v>
      </c>
      <c r="C19" s="44" t="s">
        <v>9</v>
      </c>
      <c r="D19" s="62" t="s">
        <v>10</v>
      </c>
      <c r="E19" s="83"/>
      <c r="F19" s="83">
        <v>25000</v>
      </c>
      <c r="G19" s="83">
        <f t="shared" si="0"/>
        <v>4355873</v>
      </c>
      <c r="H19" s="27"/>
    </row>
    <row r="20" spans="1:8" x14ac:dyDescent="0.25">
      <c r="A20" s="56">
        <v>46226</v>
      </c>
      <c r="B20" s="44" t="s">
        <v>170</v>
      </c>
      <c r="C20" s="44" t="s">
        <v>9</v>
      </c>
      <c r="D20" s="61" t="s">
        <v>10</v>
      </c>
      <c r="E20" s="83"/>
      <c r="F20" s="83">
        <v>45999</v>
      </c>
      <c r="G20" s="83">
        <f t="shared" si="0"/>
        <v>4309874</v>
      </c>
      <c r="H20" s="27"/>
    </row>
    <row r="21" spans="1:8" x14ac:dyDescent="0.25">
      <c r="A21" s="56">
        <v>46228</v>
      </c>
      <c r="B21" s="44" t="s">
        <v>56</v>
      </c>
      <c r="C21" s="44" t="s">
        <v>9</v>
      </c>
      <c r="D21" s="44" t="s">
        <v>56</v>
      </c>
      <c r="E21" s="83"/>
      <c r="F21" s="83">
        <v>350000</v>
      </c>
      <c r="G21" s="83">
        <f t="shared" si="0"/>
        <v>3959874</v>
      </c>
      <c r="H21" s="27"/>
    </row>
    <row r="22" spans="1:8" x14ac:dyDescent="0.25">
      <c r="A22" s="56">
        <v>46228</v>
      </c>
      <c r="B22" s="44" t="s">
        <v>77</v>
      </c>
      <c r="C22" s="44" t="s">
        <v>9</v>
      </c>
      <c r="D22" s="58" t="s">
        <v>10</v>
      </c>
      <c r="E22" s="83"/>
      <c r="F22" s="83">
        <v>5000</v>
      </c>
      <c r="G22" s="83">
        <f t="shared" si="0"/>
        <v>3954874</v>
      </c>
      <c r="H22" s="27"/>
    </row>
    <row r="23" spans="1:8" x14ac:dyDescent="0.25">
      <c r="A23" s="56">
        <v>46229</v>
      </c>
      <c r="B23" s="44" t="s">
        <v>138</v>
      </c>
      <c r="C23" s="44" t="s">
        <v>9</v>
      </c>
      <c r="D23" s="61" t="s">
        <v>10</v>
      </c>
      <c r="E23" s="83"/>
      <c r="F23" s="83">
        <v>183000</v>
      </c>
      <c r="G23" s="83">
        <f t="shared" si="0"/>
        <v>3771874</v>
      </c>
      <c r="H23" s="27"/>
    </row>
    <row r="24" spans="1:8" x14ac:dyDescent="0.25">
      <c r="A24" s="56">
        <v>46230</v>
      </c>
      <c r="B24" s="44" t="s">
        <v>138</v>
      </c>
      <c r="C24" s="44" t="s">
        <v>9</v>
      </c>
      <c r="D24" s="61" t="s">
        <v>10</v>
      </c>
      <c r="E24" s="83"/>
      <c r="F24" s="83">
        <v>55600</v>
      </c>
      <c r="G24" s="83">
        <f t="shared" si="0"/>
        <v>3716274</v>
      </c>
      <c r="H24" s="27"/>
    </row>
    <row r="25" spans="1:8" x14ac:dyDescent="0.25">
      <c r="A25" s="56">
        <v>46230</v>
      </c>
      <c r="B25" s="44" t="s">
        <v>51</v>
      </c>
      <c r="C25" s="44" t="s">
        <v>9</v>
      </c>
      <c r="D25" s="62" t="s">
        <v>10</v>
      </c>
      <c r="E25" s="83"/>
      <c r="F25" s="83">
        <v>48000</v>
      </c>
      <c r="G25" s="83">
        <f t="shared" si="0"/>
        <v>3668274</v>
      </c>
      <c r="H25" s="27"/>
    </row>
    <row r="26" spans="1:8" x14ac:dyDescent="0.25">
      <c r="A26" s="56">
        <v>46230</v>
      </c>
      <c r="B26" s="44" t="s">
        <v>171</v>
      </c>
      <c r="C26" s="44">
        <v>1</v>
      </c>
      <c r="D26" s="60" t="s">
        <v>18</v>
      </c>
      <c r="E26" s="83">
        <v>7800000</v>
      </c>
      <c r="F26" s="83"/>
      <c r="G26" s="83">
        <f t="shared" si="0"/>
        <v>11468274</v>
      </c>
      <c r="H26" s="27"/>
    </row>
    <row r="27" spans="1:8" x14ac:dyDescent="0.25">
      <c r="A27" s="56">
        <v>46230</v>
      </c>
      <c r="B27" s="44" t="s">
        <v>77</v>
      </c>
      <c r="C27" s="44" t="s">
        <v>9</v>
      </c>
      <c r="D27" s="58" t="s">
        <v>10</v>
      </c>
      <c r="E27" s="83"/>
      <c r="F27" s="83">
        <v>1200</v>
      </c>
      <c r="G27" s="83">
        <f t="shared" si="0"/>
        <v>11467074</v>
      </c>
      <c r="H27" s="27"/>
    </row>
    <row r="28" spans="1:8" x14ac:dyDescent="0.25">
      <c r="A28" s="56">
        <v>46232</v>
      </c>
      <c r="B28" s="44" t="s">
        <v>172</v>
      </c>
      <c r="C28" s="44" t="s">
        <v>9</v>
      </c>
      <c r="D28" s="61" t="s">
        <v>10</v>
      </c>
      <c r="E28" s="83"/>
      <c r="F28" s="83">
        <v>37900</v>
      </c>
      <c r="G28" s="83">
        <f t="shared" si="0"/>
        <v>11429174</v>
      </c>
      <c r="H28" s="27"/>
    </row>
    <row r="29" spans="1:8" x14ac:dyDescent="0.25">
      <c r="A29" s="56">
        <v>46234</v>
      </c>
      <c r="B29" s="44" t="s">
        <v>77</v>
      </c>
      <c r="C29" s="44" t="s">
        <v>9</v>
      </c>
      <c r="D29" s="58" t="s">
        <v>10</v>
      </c>
      <c r="E29" s="83"/>
      <c r="F29" s="83">
        <v>6000</v>
      </c>
      <c r="G29" s="83">
        <f t="shared" si="0"/>
        <v>11423174</v>
      </c>
      <c r="H29" s="27"/>
    </row>
    <row r="30" spans="1:8" x14ac:dyDescent="0.25">
      <c r="A30" s="27"/>
      <c r="B30" s="27"/>
      <c r="C30" s="27"/>
      <c r="D30" s="27"/>
      <c r="E30" s="73"/>
      <c r="F30" s="73"/>
      <c r="G30" s="73"/>
      <c r="H30" s="27"/>
    </row>
    <row r="31" spans="1:8" x14ac:dyDescent="0.25">
      <c r="A31" s="27"/>
      <c r="B31" s="27"/>
      <c r="C31" s="27"/>
      <c r="D31" s="27"/>
      <c r="E31" s="73"/>
      <c r="F31" s="73"/>
      <c r="G31" s="73"/>
      <c r="H31" s="27"/>
    </row>
    <row r="32" spans="1:8" x14ac:dyDescent="0.25">
      <c r="A32" s="27"/>
      <c r="B32" s="27"/>
      <c r="C32" s="27"/>
      <c r="D32" s="27"/>
      <c r="E32" s="73"/>
      <c r="F32" s="73"/>
      <c r="G32" s="73"/>
      <c r="H32" s="27"/>
    </row>
    <row r="33" spans="1:8" x14ac:dyDescent="0.25">
      <c r="A33" s="27"/>
      <c r="B33" s="27"/>
      <c r="C33" s="27"/>
      <c r="D33" s="27"/>
      <c r="E33" s="73"/>
      <c r="F33" s="73"/>
      <c r="G33" s="73"/>
      <c r="H33" s="27"/>
    </row>
    <row r="34" spans="1:8" x14ac:dyDescent="0.25">
      <c r="A34" s="27"/>
      <c r="B34" s="27"/>
      <c r="C34" s="27"/>
      <c r="D34" s="27"/>
      <c r="E34" s="73"/>
      <c r="F34" s="73"/>
      <c r="G34" s="73"/>
      <c r="H34" s="27"/>
    </row>
    <row r="35" spans="1:8" x14ac:dyDescent="0.25">
      <c r="A35" s="27"/>
      <c r="B35" s="27"/>
      <c r="C35" s="27"/>
      <c r="D35" s="27"/>
      <c r="E35" s="73"/>
      <c r="F35" s="73"/>
      <c r="G35" s="73"/>
      <c r="H35" s="27"/>
    </row>
    <row r="36" spans="1:8" x14ac:dyDescent="0.25">
      <c r="A36" s="27"/>
      <c r="B36" s="27"/>
      <c r="C36" s="27"/>
      <c r="D36" s="27"/>
      <c r="E36" s="73"/>
      <c r="F36" s="73"/>
      <c r="G36" s="73"/>
      <c r="H36" s="27"/>
    </row>
    <row r="37" spans="1:8" x14ac:dyDescent="0.25">
      <c r="A37" s="27"/>
      <c r="B37" s="27"/>
      <c r="C37" s="27"/>
      <c r="D37" s="27"/>
      <c r="E37" s="73"/>
      <c r="F37" s="73"/>
      <c r="G37" s="73"/>
      <c r="H37" s="27"/>
    </row>
    <row r="38" spans="1:8" x14ac:dyDescent="0.25">
      <c r="A38" s="27"/>
      <c r="B38" s="27"/>
      <c r="C38" s="27"/>
      <c r="D38" s="27"/>
      <c r="E38" s="73"/>
      <c r="F38" s="73"/>
      <c r="G38" s="73"/>
      <c r="H38" s="27"/>
    </row>
    <row r="39" spans="1:8" x14ac:dyDescent="0.25">
      <c r="A39" s="27"/>
      <c r="B39" s="27"/>
      <c r="C39" s="27"/>
      <c r="D39" s="27"/>
      <c r="E39" s="73"/>
      <c r="F39" s="73"/>
      <c r="G39" s="73"/>
      <c r="H39" s="27"/>
    </row>
    <row r="40" spans="1:8" x14ac:dyDescent="0.25">
      <c r="A40" s="27"/>
      <c r="B40" s="27"/>
      <c r="C40" s="27"/>
      <c r="D40" s="27"/>
      <c r="E40" s="73"/>
      <c r="F40" s="73"/>
      <c r="G40" s="73"/>
      <c r="H40" s="27"/>
    </row>
    <row r="41" spans="1:8" x14ac:dyDescent="0.25">
      <c r="A41" s="27"/>
      <c r="B41" s="27"/>
      <c r="C41" s="27"/>
      <c r="D41" s="27"/>
      <c r="E41" s="73"/>
      <c r="F41" s="73"/>
      <c r="G41" s="73"/>
      <c r="H41" s="27"/>
    </row>
    <row r="42" spans="1:8" x14ac:dyDescent="0.25">
      <c r="A42" s="27"/>
      <c r="B42" s="27"/>
      <c r="C42" s="27"/>
      <c r="D42" s="27"/>
      <c r="E42" s="73"/>
      <c r="F42" s="73"/>
      <c r="G42" s="73"/>
      <c r="H42" s="27"/>
    </row>
    <row r="43" spans="1:8" x14ac:dyDescent="0.25">
      <c r="A43" s="27"/>
      <c r="B43" s="27"/>
      <c r="C43" s="27"/>
      <c r="D43" s="27"/>
      <c r="E43" s="73"/>
      <c r="F43" s="73"/>
      <c r="G43" s="73"/>
      <c r="H43" s="27"/>
    </row>
    <row r="44" spans="1:8" x14ac:dyDescent="0.25">
      <c r="A44" s="27"/>
      <c r="B44" s="27"/>
      <c r="C44" s="27"/>
      <c r="D44" s="27"/>
      <c r="E44" s="73"/>
      <c r="F44" s="73"/>
      <c r="G44" s="73"/>
      <c r="H44" s="27"/>
    </row>
    <row r="45" spans="1:8" x14ac:dyDescent="0.25">
      <c r="A45" s="27"/>
      <c r="B45" s="27"/>
      <c r="C45" s="27"/>
      <c r="D45" s="27"/>
      <c r="E45" s="73"/>
      <c r="F45" s="73"/>
      <c r="G45" s="73"/>
      <c r="H45" s="27"/>
    </row>
    <row r="46" spans="1:8" x14ac:dyDescent="0.25">
      <c r="A46" s="27"/>
      <c r="B46" s="27"/>
      <c r="C46" s="27"/>
      <c r="D46" s="27"/>
      <c r="E46" s="73"/>
      <c r="F46" s="73"/>
      <c r="G46" s="73"/>
      <c r="H46" s="27"/>
    </row>
    <row r="47" spans="1:8" x14ac:dyDescent="0.25">
      <c r="A47" s="27"/>
      <c r="B47" s="27"/>
      <c r="C47" s="27"/>
      <c r="D47" s="27"/>
      <c r="E47" s="73"/>
      <c r="F47" s="73"/>
      <c r="G47" s="73"/>
      <c r="H47" s="27"/>
    </row>
    <row r="48" spans="1:8" x14ac:dyDescent="0.25">
      <c r="A48" s="27"/>
      <c r="B48" s="27"/>
      <c r="C48" s="27"/>
      <c r="D48" s="27"/>
      <c r="E48" s="73"/>
      <c r="F48" s="73"/>
      <c r="G48" s="73"/>
      <c r="H48" s="27"/>
    </row>
    <row r="49" spans="1:8" x14ac:dyDescent="0.25">
      <c r="A49" s="27"/>
      <c r="B49" s="27"/>
      <c r="C49" s="27"/>
      <c r="D49" s="27"/>
      <c r="E49" s="73"/>
      <c r="F49" s="73"/>
      <c r="G49" s="73"/>
      <c r="H49" s="27"/>
    </row>
    <row r="50" spans="1:8" x14ac:dyDescent="0.25">
      <c r="A50" s="27"/>
      <c r="B50" s="27"/>
      <c r="C50" s="27"/>
      <c r="D50" s="27"/>
      <c r="E50" s="73"/>
      <c r="F50" s="73"/>
      <c r="G50" s="73"/>
      <c r="H50" s="2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7"/>
  <sheetViews>
    <sheetView workbookViewId="0">
      <selection activeCell="B10" sqref="B10"/>
    </sheetView>
  </sheetViews>
  <sheetFormatPr defaultRowHeight="15" x14ac:dyDescent="0.25"/>
  <cols>
    <col min="1" max="1" width="10.7109375" style="68" customWidth="1"/>
    <col min="2" max="2" width="63" style="68" bestFit="1" customWidth="1"/>
    <col min="3" max="3" width="7.7109375" style="68" customWidth="1"/>
    <col min="4" max="4" width="11.5703125" style="68" customWidth="1"/>
    <col min="5" max="5" width="16.5703125" style="68" customWidth="1"/>
    <col min="6" max="7" width="16.5703125" style="68" bestFit="1" customWidth="1"/>
    <col min="8" max="8" width="14" style="68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3"/>
      <c r="J1" s="43"/>
      <c r="K1" s="43"/>
      <c r="L1" s="43"/>
      <c r="M1" s="43"/>
    </row>
    <row r="2" spans="1:13" x14ac:dyDescent="0.25">
      <c r="A2" s="56">
        <v>46235</v>
      </c>
      <c r="B2" s="44" t="s">
        <v>28</v>
      </c>
      <c r="C2" s="44" t="s">
        <v>9</v>
      </c>
      <c r="D2" s="44" t="s">
        <v>10</v>
      </c>
      <c r="E2" s="82">
        <f>Juli!G29</f>
        <v>11423174</v>
      </c>
      <c r="F2" s="82"/>
      <c r="G2" s="82">
        <f>E2</f>
        <v>11423174</v>
      </c>
      <c r="H2" s="44"/>
      <c r="I2" s="43"/>
      <c r="J2" s="43"/>
      <c r="K2" s="43"/>
      <c r="L2" s="43"/>
      <c r="M2" s="43"/>
    </row>
    <row r="3" spans="1:13" x14ac:dyDescent="0.25">
      <c r="A3" s="63">
        <v>46237</v>
      </c>
      <c r="B3" s="44" t="s">
        <v>77</v>
      </c>
      <c r="C3" s="44" t="s">
        <v>9</v>
      </c>
      <c r="D3" s="45" t="s">
        <v>10</v>
      </c>
      <c r="E3" s="82"/>
      <c r="F3" s="82">
        <v>4000</v>
      </c>
      <c r="G3" s="82">
        <f t="shared" ref="G3:G27" si="0">G2+E3-F3</f>
        <v>11419174</v>
      </c>
      <c r="H3" s="44"/>
      <c r="I3" s="43"/>
      <c r="J3" s="43"/>
      <c r="K3" s="43"/>
      <c r="L3" s="43"/>
      <c r="M3" s="43"/>
    </row>
    <row r="4" spans="1:13" x14ac:dyDescent="0.25">
      <c r="A4" s="56">
        <v>46237</v>
      </c>
      <c r="B4" s="44" t="s">
        <v>173</v>
      </c>
      <c r="C4" s="44" t="s">
        <v>9</v>
      </c>
      <c r="D4" s="52" t="s">
        <v>18</v>
      </c>
      <c r="E4" s="82">
        <v>7000000</v>
      </c>
      <c r="F4" s="82"/>
      <c r="G4" s="82">
        <f t="shared" si="0"/>
        <v>18419174</v>
      </c>
      <c r="H4" s="44"/>
    </row>
    <row r="5" spans="1:13" x14ac:dyDescent="0.25">
      <c r="A5" s="63">
        <v>46238</v>
      </c>
      <c r="B5" s="44" t="s">
        <v>51</v>
      </c>
      <c r="C5" s="44" t="s">
        <v>9</v>
      </c>
      <c r="D5" s="46" t="s">
        <v>10</v>
      </c>
      <c r="E5" s="82"/>
      <c r="F5" s="82">
        <v>65000</v>
      </c>
      <c r="G5" s="82">
        <f t="shared" si="0"/>
        <v>18354174</v>
      </c>
      <c r="H5" s="44"/>
      <c r="I5" s="43"/>
      <c r="J5" s="43"/>
      <c r="K5" s="43"/>
      <c r="L5" s="43"/>
      <c r="M5" s="43"/>
    </row>
    <row r="6" spans="1:13" x14ac:dyDescent="0.25">
      <c r="A6" s="56">
        <v>46238</v>
      </c>
      <c r="B6" s="44" t="s">
        <v>149</v>
      </c>
      <c r="C6" s="44">
        <v>1</v>
      </c>
      <c r="D6" s="47" t="s">
        <v>12</v>
      </c>
      <c r="E6" s="82"/>
      <c r="F6" s="82">
        <v>13400000</v>
      </c>
      <c r="G6" s="82">
        <f t="shared" si="0"/>
        <v>4954174</v>
      </c>
      <c r="H6" s="44"/>
      <c r="I6" s="43"/>
      <c r="J6" s="43"/>
      <c r="K6" s="43" t="s">
        <v>84</v>
      </c>
      <c r="L6" s="48" t="s">
        <v>85</v>
      </c>
      <c r="M6" s="43" t="s">
        <v>86</v>
      </c>
    </row>
    <row r="7" spans="1:13" x14ac:dyDescent="0.25">
      <c r="A7" s="63">
        <v>46238</v>
      </c>
      <c r="B7" s="44" t="s">
        <v>77</v>
      </c>
      <c r="C7" s="44" t="s">
        <v>9</v>
      </c>
      <c r="D7" s="45" t="s">
        <v>10</v>
      </c>
      <c r="E7" s="82"/>
      <c r="F7" s="82">
        <v>2500</v>
      </c>
      <c r="G7" s="82">
        <f t="shared" si="0"/>
        <v>4951674</v>
      </c>
      <c r="H7" s="44"/>
      <c r="I7" s="43"/>
      <c r="J7" s="43"/>
      <c r="K7" s="43"/>
      <c r="L7" s="49" t="s">
        <v>88</v>
      </c>
      <c r="M7" s="43" t="s">
        <v>89</v>
      </c>
    </row>
    <row r="8" spans="1:13" x14ac:dyDescent="0.25">
      <c r="A8" s="63">
        <v>46239</v>
      </c>
      <c r="B8" s="44" t="s">
        <v>174</v>
      </c>
      <c r="C8" s="44">
        <v>1</v>
      </c>
      <c r="D8" s="50" t="s">
        <v>12</v>
      </c>
      <c r="E8" s="82"/>
      <c r="F8" s="82">
        <v>91400</v>
      </c>
      <c r="G8" s="82">
        <f t="shared" si="0"/>
        <v>4860274</v>
      </c>
      <c r="H8" s="44"/>
      <c r="I8" s="43"/>
      <c r="J8" s="43"/>
      <c r="K8" s="43"/>
      <c r="L8" s="51" t="s">
        <v>91</v>
      </c>
      <c r="M8" s="43" t="s">
        <v>92</v>
      </c>
    </row>
    <row r="9" spans="1:13" x14ac:dyDescent="0.25">
      <c r="A9" s="56">
        <v>46241</v>
      </c>
      <c r="B9" s="44" t="s">
        <v>175</v>
      </c>
      <c r="C9" s="44">
        <v>1</v>
      </c>
      <c r="D9" s="52" t="s">
        <v>18</v>
      </c>
      <c r="E9" s="82">
        <v>8400000</v>
      </c>
      <c r="F9" s="82"/>
      <c r="G9" s="82">
        <f t="shared" si="0"/>
        <v>13260274</v>
      </c>
      <c r="H9" s="44"/>
      <c r="I9" s="43"/>
      <c r="J9" s="43"/>
      <c r="K9" s="43"/>
      <c r="L9" s="53" t="s">
        <v>93</v>
      </c>
      <c r="M9" s="43" t="s">
        <v>94</v>
      </c>
    </row>
    <row r="10" spans="1:13" x14ac:dyDescent="0.25">
      <c r="A10" s="4">
        <v>46241</v>
      </c>
      <c r="B10" s="27" t="s">
        <v>176</v>
      </c>
      <c r="C10" t="s">
        <v>9</v>
      </c>
      <c r="D10" s="64" t="s">
        <v>10</v>
      </c>
      <c r="F10" s="76">
        <v>34000</v>
      </c>
      <c r="G10">
        <f t="shared" si="0"/>
        <v>13226274</v>
      </c>
    </row>
    <row r="11" spans="1:13" x14ac:dyDescent="0.25">
      <c r="A11" s="63">
        <v>46241</v>
      </c>
      <c r="B11" s="44" t="s">
        <v>77</v>
      </c>
      <c r="C11" s="44" t="s">
        <v>9</v>
      </c>
      <c r="D11" s="58" t="s">
        <v>10</v>
      </c>
      <c r="E11" s="82"/>
      <c r="F11" s="82">
        <v>2500</v>
      </c>
      <c r="G11" s="82">
        <f t="shared" si="0"/>
        <v>13223774</v>
      </c>
      <c r="H11" s="44"/>
      <c r="I11" s="43"/>
      <c r="J11" s="43"/>
      <c r="K11" s="43"/>
      <c r="L11" s="54" t="s">
        <v>95</v>
      </c>
      <c r="M11" s="43" t="s">
        <v>77</v>
      </c>
    </row>
    <row r="12" spans="1:13" x14ac:dyDescent="0.25">
      <c r="A12" s="56">
        <v>46249</v>
      </c>
      <c r="B12" s="44" t="s">
        <v>177</v>
      </c>
      <c r="C12" s="44">
        <v>1</v>
      </c>
      <c r="D12" s="60" t="s">
        <v>18</v>
      </c>
      <c r="E12" s="82">
        <v>10000000</v>
      </c>
      <c r="F12" s="82"/>
      <c r="G12" s="82">
        <f t="shared" si="0"/>
        <v>23223774</v>
      </c>
      <c r="H12" s="44"/>
      <c r="I12" s="43"/>
      <c r="J12" s="43"/>
      <c r="K12" s="43"/>
      <c r="L12" s="55" t="s">
        <v>97</v>
      </c>
      <c r="M12" s="43" t="s">
        <v>56</v>
      </c>
    </row>
    <row r="13" spans="1:13" x14ac:dyDescent="0.25">
      <c r="A13" s="63">
        <v>46249</v>
      </c>
      <c r="B13" s="44" t="s">
        <v>51</v>
      </c>
      <c r="C13" s="44" t="s">
        <v>9</v>
      </c>
      <c r="D13" s="62" t="s">
        <v>10</v>
      </c>
      <c r="E13" s="82"/>
      <c r="F13" s="82">
        <v>60000</v>
      </c>
      <c r="G13" s="82">
        <f t="shared" si="0"/>
        <v>23163774</v>
      </c>
      <c r="H13" s="44"/>
    </row>
    <row r="14" spans="1:13" x14ac:dyDescent="0.25">
      <c r="A14" s="63">
        <v>46249</v>
      </c>
      <c r="B14" s="44" t="s">
        <v>77</v>
      </c>
      <c r="C14" s="44" t="s">
        <v>9</v>
      </c>
      <c r="D14" s="58" t="s">
        <v>10</v>
      </c>
      <c r="E14" s="82"/>
      <c r="F14" s="82">
        <v>2500</v>
      </c>
      <c r="G14" s="82">
        <f t="shared" si="0"/>
        <v>23161274</v>
      </c>
      <c r="H14" s="44"/>
    </row>
    <row r="15" spans="1:13" x14ac:dyDescent="0.25">
      <c r="A15" s="56">
        <v>46251</v>
      </c>
      <c r="B15" s="44" t="s">
        <v>138</v>
      </c>
      <c r="C15" s="44" t="s">
        <v>9</v>
      </c>
      <c r="D15" s="65" t="s">
        <v>10</v>
      </c>
      <c r="E15" s="82"/>
      <c r="F15" s="82">
        <v>345600</v>
      </c>
      <c r="G15" s="82">
        <f t="shared" si="0"/>
        <v>22815674</v>
      </c>
      <c r="H15" s="44"/>
    </row>
    <row r="16" spans="1:13" x14ac:dyDescent="0.25">
      <c r="A16" s="63">
        <v>46259</v>
      </c>
      <c r="B16" s="44" t="s">
        <v>178</v>
      </c>
      <c r="C16" s="44" t="s">
        <v>9</v>
      </c>
      <c r="D16" s="84" t="s">
        <v>18</v>
      </c>
      <c r="E16" s="82">
        <v>404762</v>
      </c>
      <c r="F16" s="82"/>
      <c r="G16" s="82">
        <f t="shared" si="0"/>
        <v>23220436</v>
      </c>
    </row>
    <row r="17" spans="1:7" x14ac:dyDescent="0.25">
      <c r="A17" s="63">
        <v>46260</v>
      </c>
      <c r="B17" s="44" t="s">
        <v>179</v>
      </c>
      <c r="C17" s="44" t="s">
        <v>9</v>
      </c>
      <c r="D17" s="44" t="s">
        <v>56</v>
      </c>
      <c r="E17" s="82"/>
      <c r="F17" s="82">
        <v>350000</v>
      </c>
      <c r="G17" s="82">
        <f t="shared" si="0"/>
        <v>22870436</v>
      </c>
    </row>
    <row r="18" spans="1:7" x14ac:dyDescent="0.25">
      <c r="A18" s="63">
        <v>46260</v>
      </c>
      <c r="B18" s="44" t="s">
        <v>77</v>
      </c>
      <c r="C18" s="44" t="s">
        <v>9</v>
      </c>
      <c r="D18" s="85" t="s">
        <v>10</v>
      </c>
      <c r="E18" s="82"/>
      <c r="F18" s="82">
        <v>5000</v>
      </c>
      <c r="G18" s="82">
        <f t="shared" si="0"/>
        <v>22865436</v>
      </c>
    </row>
    <row r="19" spans="1:7" x14ac:dyDescent="0.25">
      <c r="A19" s="63">
        <v>46260</v>
      </c>
      <c r="B19" s="44" t="s">
        <v>180</v>
      </c>
      <c r="C19" s="44">
        <v>1</v>
      </c>
      <c r="D19" s="86" t="s">
        <v>12</v>
      </c>
      <c r="E19" s="82"/>
      <c r="F19" s="82">
        <v>7397500</v>
      </c>
      <c r="G19" s="82">
        <f t="shared" si="0"/>
        <v>15467936</v>
      </c>
    </row>
    <row r="20" spans="1:7" x14ac:dyDescent="0.25">
      <c r="A20" s="63">
        <v>46260</v>
      </c>
      <c r="B20" s="44" t="s">
        <v>77</v>
      </c>
      <c r="C20" s="44" t="s">
        <v>9</v>
      </c>
      <c r="D20" s="85" t="s">
        <v>10</v>
      </c>
      <c r="E20" s="82"/>
      <c r="F20" s="82">
        <v>2500</v>
      </c>
      <c r="G20" s="82">
        <f t="shared" si="0"/>
        <v>15465436</v>
      </c>
    </row>
    <row r="21" spans="1:7" x14ac:dyDescent="0.25">
      <c r="A21" s="63">
        <v>46260</v>
      </c>
      <c r="B21" s="44" t="s">
        <v>181</v>
      </c>
      <c r="C21" s="44" t="s">
        <v>9</v>
      </c>
      <c r="D21" s="87" t="s">
        <v>10</v>
      </c>
      <c r="E21" s="82"/>
      <c r="F21" s="82">
        <v>21000</v>
      </c>
      <c r="G21" s="82">
        <f t="shared" si="0"/>
        <v>15444436</v>
      </c>
    </row>
    <row r="22" spans="1:7" x14ac:dyDescent="0.25">
      <c r="A22" s="63">
        <v>46260</v>
      </c>
      <c r="B22" s="44" t="s">
        <v>182</v>
      </c>
      <c r="C22" s="44" t="s">
        <v>9</v>
      </c>
      <c r="D22" s="87" t="s">
        <v>10</v>
      </c>
      <c r="E22" s="82"/>
      <c r="F22" s="82">
        <v>30000</v>
      </c>
      <c r="G22" s="82">
        <f t="shared" si="0"/>
        <v>15414436</v>
      </c>
    </row>
    <row r="23" spans="1:7" x14ac:dyDescent="0.25">
      <c r="A23" s="63">
        <v>46260</v>
      </c>
      <c r="B23" s="44" t="s">
        <v>183</v>
      </c>
      <c r="C23" s="44">
        <v>1</v>
      </c>
      <c r="D23" s="86" t="s">
        <v>12</v>
      </c>
      <c r="E23" s="82"/>
      <c r="F23" s="82">
        <v>14600000</v>
      </c>
      <c r="G23" s="82">
        <f t="shared" si="0"/>
        <v>814436</v>
      </c>
    </row>
    <row r="24" spans="1:7" x14ac:dyDescent="0.25">
      <c r="A24" s="63">
        <v>46260</v>
      </c>
      <c r="B24" s="44" t="s">
        <v>77</v>
      </c>
      <c r="C24" s="44" t="s">
        <v>9</v>
      </c>
      <c r="D24" s="85" t="s">
        <v>10</v>
      </c>
      <c r="E24" s="82"/>
      <c r="F24" s="82">
        <v>2500</v>
      </c>
      <c r="G24" s="82">
        <f t="shared" si="0"/>
        <v>811936</v>
      </c>
    </row>
    <row r="25" spans="1:7" x14ac:dyDescent="0.25">
      <c r="A25" s="63">
        <v>46261</v>
      </c>
      <c r="B25" s="44" t="s">
        <v>184</v>
      </c>
      <c r="C25" s="44" t="s">
        <v>9</v>
      </c>
      <c r="D25" s="88" t="s">
        <v>10</v>
      </c>
      <c r="E25" s="82"/>
      <c r="F25" s="82">
        <v>61098</v>
      </c>
      <c r="G25" s="82">
        <f t="shared" si="0"/>
        <v>750838</v>
      </c>
    </row>
    <row r="26" spans="1:7" x14ac:dyDescent="0.25">
      <c r="A26" s="63">
        <v>46263</v>
      </c>
      <c r="B26" s="44" t="s">
        <v>185</v>
      </c>
      <c r="C26" s="44" t="s">
        <v>9</v>
      </c>
      <c r="D26" s="84" t="s">
        <v>18</v>
      </c>
      <c r="E26" s="82">
        <v>150000</v>
      </c>
      <c r="F26" s="82"/>
      <c r="G26" s="82">
        <f t="shared" si="0"/>
        <v>900838</v>
      </c>
    </row>
    <row r="27" spans="1:7" x14ac:dyDescent="0.25">
      <c r="A27" s="63">
        <v>46265</v>
      </c>
      <c r="B27" s="44" t="s">
        <v>77</v>
      </c>
      <c r="C27" s="44" t="s">
        <v>9</v>
      </c>
      <c r="D27" s="85" t="s">
        <v>10</v>
      </c>
      <c r="E27" s="82"/>
      <c r="F27" s="82">
        <v>6000</v>
      </c>
      <c r="G27" s="82">
        <f t="shared" si="0"/>
        <v>894838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Ag-Sep</vt:lpstr>
      <vt:lpstr>Okt</vt:lpstr>
      <vt:lpstr>Nov</vt:lpstr>
      <vt:lpstr>Des</vt:lpstr>
      <vt:lpstr>Jan</vt:lpstr>
      <vt:lpstr>Feb</vt:lpstr>
      <vt:lpstr>Mar</vt:lpstr>
      <vt:lpstr>Apr</vt:lpstr>
      <vt:lpstr>Mei</vt:lpstr>
      <vt:lpstr>Juni</vt:lpstr>
      <vt:lpstr>Juli</vt:lpstr>
      <vt:lpstr>Agu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Khairin Noor</dc:creator>
  <cp:lastModifiedBy>Khairin Noor</cp:lastModifiedBy>
  <dcterms:created xsi:type="dcterms:W3CDTF">2025-09-02T16:05:08Z</dcterms:created>
  <dcterms:modified xsi:type="dcterms:W3CDTF">2026-09-09T10:48:48Z</dcterms:modified>
</cp:coreProperties>
</file>